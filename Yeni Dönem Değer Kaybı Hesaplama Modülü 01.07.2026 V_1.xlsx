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84"/>
  <workbookPr codeName="BuÇalışmaKitabı"/>
  <mc:AlternateContent xmlns:mc="http://schemas.openxmlformats.org/markup-compatibility/2006">
    <mc:Choice Requires="x15">
      <x15ac:absPath xmlns:x15ac="http://schemas.microsoft.com/office/spreadsheetml/2010/11/ac" url="C:\Users\mevlut.soylemez\Desktop\"/>
    </mc:Choice>
  </mc:AlternateContent>
  <xr:revisionPtr revIDLastSave="0" documentId="13_ncr:1_{715E711D-C958-4475-A725-7062E4584958}" xr6:coauthVersionLast="36" xr6:coauthVersionMax="36" xr10:uidLastSave="{00000000-0000-0000-0000-000000000000}"/>
  <bookViews>
    <workbookView xWindow="0" yWindow="0" windowWidth="19200" windowHeight="6945" xr2:uid="{00000000-000D-0000-FFFF-FFFF00000000}"/>
  </bookViews>
  <sheets>
    <sheet name="Hesaplama" sheetId="1" r:id="rId1"/>
    <sheet name="Sheet1" sheetId="7" state="hidden" r:id="rId2"/>
    <sheet name="Uygulama Esasları" sheetId="6" r:id="rId3"/>
    <sheet name="Tablolar" sheetId="4" r:id="rId4"/>
  </sheets>
  <definedNames>
    <definedName name="_xlnm._FilterDatabase" localSheetId="0" hidden="1">Hesaplama!#REF!</definedName>
  </definedNames>
  <calcPr calcId="191029"/>
</workbook>
</file>

<file path=xl/calcChain.xml><?xml version="1.0" encoding="utf-8"?>
<calcChain xmlns="http://schemas.openxmlformats.org/spreadsheetml/2006/main">
  <c r="W2" i="4" l="1"/>
  <c r="W3" i="4" s="1"/>
  <c r="W4" i="4" s="1"/>
  <c r="D3" i="7"/>
  <c r="D9" i="7"/>
  <c r="F11" i="1"/>
  <c r="B27" i="4" s="1"/>
  <c r="K59" i="1"/>
  <c r="K58" i="1"/>
  <c r="K57" i="1"/>
  <c r="K56" i="1"/>
  <c r="K55" i="1"/>
  <c r="K54" i="1"/>
  <c r="K53" i="1"/>
  <c r="K52" i="1"/>
  <c r="K51" i="1"/>
  <c r="K61" i="1"/>
  <c r="K60" i="1"/>
  <c r="K50" i="1"/>
  <c r="K49" i="1"/>
  <c r="K48" i="1"/>
  <c r="K46" i="1"/>
  <c r="K45" i="1"/>
  <c r="K44" i="1"/>
  <c r="K43" i="1"/>
  <c r="K42" i="1"/>
  <c r="K41" i="1"/>
  <c r="K40" i="1"/>
  <c r="J5" i="1"/>
  <c r="J7" i="1"/>
  <c r="L23" i="4"/>
  <c r="J24" i="4"/>
  <c r="K39" i="1"/>
  <c r="K38" i="1"/>
  <c r="K37" i="1"/>
  <c r="K36" i="1"/>
  <c r="K35" i="1"/>
  <c r="K34" i="1"/>
  <c r="K33" i="1"/>
  <c r="K32" i="1"/>
  <c r="K17" i="1"/>
  <c r="K21" i="1"/>
  <c r="K22" i="1"/>
  <c r="K23" i="1"/>
  <c r="K24" i="1"/>
  <c r="K26" i="1"/>
  <c r="K27" i="1"/>
  <c r="K28" i="1"/>
  <c r="K30" i="1"/>
  <c r="M19" i="1"/>
  <c r="C3" i="1"/>
  <c r="E9" i="1" s="1"/>
  <c r="K25" i="1"/>
  <c r="K16" i="1"/>
  <c r="W5" i="4" l="1"/>
  <c r="F9" i="1"/>
  <c r="B9" i="1"/>
  <c r="E59" i="1"/>
  <c r="B59" i="1"/>
  <c r="C59" i="1" s="1"/>
  <c r="I59" i="1"/>
  <c r="H49" i="1"/>
  <c r="K19" i="1"/>
  <c r="K31" i="1"/>
  <c r="K47" i="1"/>
  <c r="K18" i="1"/>
  <c r="K20" i="1"/>
  <c r="H59" i="1"/>
  <c r="H58" i="1"/>
  <c r="B60" i="1"/>
  <c r="C60" i="1" s="1"/>
  <c r="I58" i="1"/>
  <c r="E53" i="1"/>
  <c r="E54" i="1"/>
  <c r="E55" i="1"/>
  <c r="E56" i="1"/>
  <c r="B55" i="1"/>
  <c r="C55" i="1" s="1"/>
  <c r="I53" i="1"/>
  <c r="B56" i="1"/>
  <c r="C56" i="1" s="1"/>
  <c r="I54" i="1"/>
  <c r="B57" i="1"/>
  <c r="C57" i="1" s="1"/>
  <c r="I55" i="1"/>
  <c r="B58" i="1"/>
  <c r="C58" i="1" s="1"/>
  <c r="I56" i="1"/>
  <c r="I57" i="1"/>
  <c r="B61" i="1"/>
  <c r="C61" i="1" s="1"/>
  <c r="E51" i="1"/>
  <c r="I60" i="1"/>
  <c r="E52" i="1"/>
  <c r="I61" i="1"/>
  <c r="E57" i="1"/>
  <c r="E58" i="1"/>
  <c r="B51" i="1"/>
  <c r="C51" i="1" s="1"/>
  <c r="E60" i="1"/>
  <c r="B52" i="1"/>
  <c r="C52" i="1" s="1"/>
  <c r="E61" i="1"/>
  <c r="B53" i="1"/>
  <c r="C53" i="1" s="1"/>
  <c r="I51" i="1"/>
  <c r="B54" i="1"/>
  <c r="C54" i="1" s="1"/>
  <c r="I52" i="1"/>
  <c r="E41" i="1"/>
  <c r="I41" i="1"/>
  <c r="B42" i="1"/>
  <c r="C42" i="1" s="1"/>
  <c r="I42" i="1"/>
  <c r="I34" i="1"/>
  <c r="I37" i="1"/>
  <c r="I35" i="1"/>
  <c r="I36" i="1"/>
  <c r="I38" i="1"/>
  <c r="E43" i="1"/>
  <c r="I39" i="1"/>
  <c r="I40" i="1"/>
  <c r="B41" i="1"/>
  <c r="C41" i="1" s="1"/>
  <c r="E42" i="1"/>
  <c r="B43" i="1"/>
  <c r="C43" i="1" s="1"/>
  <c r="I43" i="1"/>
  <c r="E36" i="1"/>
  <c r="E33" i="1"/>
  <c r="E34" i="1"/>
  <c r="I33" i="1"/>
  <c r="B33" i="1"/>
  <c r="C33" i="1" s="1"/>
  <c r="B34" i="1"/>
  <c r="C34" i="1" s="1"/>
  <c r="E35" i="1"/>
  <c r="E37" i="1"/>
  <c r="E38" i="1"/>
  <c r="E39" i="1"/>
  <c r="E40" i="1"/>
  <c r="B32" i="1"/>
  <c r="C32" i="1" s="1"/>
  <c r="E32" i="1"/>
  <c r="B31" i="1"/>
  <c r="C31" i="1" s="1"/>
  <c r="E31" i="1"/>
  <c r="H31" i="1" s="1"/>
  <c r="I31" i="1"/>
  <c r="I32" i="1"/>
  <c r="B40" i="1"/>
  <c r="C40" i="1" s="1"/>
  <c r="B35" i="1"/>
  <c r="C35" i="1" s="1"/>
  <c r="B37" i="1"/>
  <c r="C37" i="1" s="1"/>
  <c r="B39" i="1"/>
  <c r="C39" i="1" s="1"/>
  <c r="B38" i="1"/>
  <c r="C38" i="1" s="1"/>
  <c r="B36" i="1"/>
  <c r="C36" i="1" s="1"/>
  <c r="E50" i="1"/>
  <c r="I50" i="1"/>
  <c r="I46" i="1"/>
  <c r="I47" i="1"/>
  <c r="I49" i="1"/>
  <c r="I45" i="1"/>
  <c r="I48" i="1"/>
  <c r="I44" i="1"/>
  <c r="E44" i="1"/>
  <c r="H41" i="1"/>
  <c r="H60" i="1"/>
  <c r="E45" i="1"/>
  <c r="E46" i="1"/>
  <c r="E49" i="1"/>
  <c r="E47" i="1"/>
  <c r="H47" i="1" s="1"/>
  <c r="H40" i="1"/>
  <c r="E48" i="1"/>
  <c r="H61" i="1"/>
  <c r="H17" i="1"/>
  <c r="B48" i="1"/>
  <c r="B44" i="1"/>
  <c r="C44" i="1" s="1"/>
  <c r="B45" i="1"/>
  <c r="C45" i="1" s="1"/>
  <c r="B46" i="1"/>
  <c r="C46" i="1" s="1"/>
  <c r="B47" i="1"/>
  <c r="C47" i="1" s="1"/>
  <c r="B49" i="1"/>
  <c r="C49" i="1" s="1"/>
  <c r="B50" i="1"/>
  <c r="C50" i="1" s="1"/>
  <c r="K29" i="1"/>
  <c r="C7" i="1"/>
  <c r="B26" i="1"/>
  <c r="C26" i="1" s="1"/>
  <c r="H32" i="1"/>
  <c r="E28" i="1"/>
  <c r="I20" i="1"/>
  <c r="H22" i="1"/>
  <c r="H45" i="1"/>
  <c r="I28" i="1"/>
  <c r="H27" i="1"/>
  <c r="I16" i="1"/>
  <c r="H43" i="1"/>
  <c r="H23" i="1"/>
  <c r="E26" i="1"/>
  <c r="B17" i="1"/>
  <c r="C17" i="1" s="1"/>
  <c r="H24" i="1"/>
  <c r="H51" i="1"/>
  <c r="I23" i="1"/>
  <c r="H19" i="1"/>
  <c r="I19" i="1"/>
  <c r="I24" i="1"/>
  <c r="B21" i="1"/>
  <c r="C21" i="1" s="1"/>
  <c r="H48" i="1"/>
  <c r="E20" i="1"/>
  <c r="H20" i="1" s="1"/>
  <c r="B18" i="1"/>
  <c r="C18" i="1" s="1"/>
  <c r="H52" i="1"/>
  <c r="H53" i="1"/>
  <c r="M18" i="1"/>
  <c r="I25" i="1"/>
  <c r="B30" i="1"/>
  <c r="C30" i="1" s="1"/>
  <c r="H46" i="1"/>
  <c r="H26" i="1"/>
  <c r="E19" i="1"/>
  <c r="B29" i="1"/>
  <c r="C29" i="1" s="1"/>
  <c r="H35" i="1"/>
  <c r="I26" i="1"/>
  <c r="I30" i="1"/>
  <c r="B20" i="1"/>
  <c r="C20" i="1" s="1"/>
  <c r="H39" i="1"/>
  <c r="I21" i="1"/>
  <c r="E16" i="1"/>
  <c r="H16" i="1" s="1"/>
  <c r="B23" i="1"/>
  <c r="C23" i="1" s="1"/>
  <c r="H57" i="1"/>
  <c r="J9" i="1"/>
  <c r="E24" i="1"/>
  <c r="H34" i="1"/>
  <c r="E17" i="1"/>
  <c r="E18" i="1"/>
  <c r="H18" i="1" s="1"/>
  <c r="E23" i="1"/>
  <c r="H25" i="1"/>
  <c r="I29" i="1"/>
  <c r="H29" i="1"/>
  <c r="H50" i="1"/>
  <c r="I17" i="1"/>
  <c r="E25" i="1"/>
  <c r="B19" i="1"/>
  <c r="C19" i="1" s="1"/>
  <c r="H55" i="1"/>
  <c r="H28" i="1"/>
  <c r="H42" i="1"/>
  <c r="B28" i="1"/>
  <c r="C28" i="1" s="1"/>
  <c r="E30" i="1"/>
  <c r="H38" i="1"/>
  <c r="H21" i="1"/>
  <c r="I27" i="1"/>
  <c r="E21" i="1"/>
  <c r="H56" i="1"/>
  <c r="H30" i="1"/>
  <c r="B25" i="1"/>
  <c r="C25" i="1" s="1"/>
  <c r="B27" i="1"/>
  <c r="C27" i="1" s="1"/>
  <c r="H54" i="1"/>
  <c r="B22" i="1"/>
  <c r="C22" i="1" s="1"/>
  <c r="E29" i="1"/>
  <c r="H37" i="1"/>
  <c r="E27" i="1"/>
  <c r="B16" i="1"/>
  <c r="C16" i="1" s="1"/>
  <c r="H36" i="1"/>
  <c r="H44" i="1"/>
  <c r="B24" i="1"/>
  <c r="C24" i="1" s="1"/>
  <c r="I18" i="1"/>
  <c r="I22" i="1"/>
  <c r="E22" i="1"/>
  <c r="H33" i="1"/>
  <c r="C48" i="1" l="1"/>
  <c r="K64" i="1"/>
  <c r="H64" i="1"/>
  <c r="C64" i="1" l="1"/>
  <c r="J3" i="1" s="1"/>
  <c r="U6" i="4" l="1"/>
  <c r="U7" i="4" s="1"/>
  <c r="U8" i="4" s="1"/>
  <c r="U9" i="4" s="1"/>
  <c r="H1" i="1" s="1"/>
  <c r="U2" i="4"/>
  <c r="U3" i="4" s="1"/>
  <c r="U4" i="4" s="1"/>
  <c r="U5" i="4" s="1"/>
  <c r="U10" i="4"/>
  <c r="U11" i="4" s="1"/>
  <c r="U12" i="4" s="1"/>
  <c r="U13" i="4" s="1"/>
</calcChain>
</file>

<file path=xl/sharedStrings.xml><?xml version="1.0" encoding="utf-8"?>
<sst xmlns="http://schemas.openxmlformats.org/spreadsheetml/2006/main" count="743" uniqueCount="319">
  <si>
    <t>DEĞİŞMESİ GEREKEN PARÇALAR</t>
  </si>
  <si>
    <t>MOTOR KAPUTU</t>
  </si>
  <si>
    <t>BAGAJ KAPAĞI</t>
  </si>
  <si>
    <t>ARKA PANEL</t>
  </si>
  <si>
    <t>HAVUZ SACI</t>
  </si>
  <si>
    <t>TAVAN SACI</t>
  </si>
  <si>
    <t>SÜRÜCÜ HAVA YASTIĞI</t>
  </si>
  <si>
    <t>YOLCU HAVA YASTIĞI</t>
  </si>
  <si>
    <t>ADET</t>
  </si>
  <si>
    <t>KODU</t>
  </si>
  <si>
    <t>ARAÇ GRUBU</t>
  </si>
  <si>
    <t>OTOMOBİL</t>
  </si>
  <si>
    <t>TAKSİ</t>
  </si>
  <si>
    <t>MİNİBÜS</t>
  </si>
  <si>
    <t>OTOBÜS</t>
  </si>
  <si>
    <t>KAMYONET</t>
  </si>
  <si>
    <t>KAMYON</t>
  </si>
  <si>
    <t>ÇEKİCİ</t>
  </si>
  <si>
    <t>İŞ MAKİNESİ</t>
  </si>
  <si>
    <t>TRAKTÖR</t>
  </si>
  <si>
    <t>TARIM MAKİNESİ</t>
  </si>
  <si>
    <t>ÖZEL AMAÇLI ARAÇ</t>
  </si>
  <si>
    <t>RÖMORK</t>
  </si>
  <si>
    <t>MOTORSİKLET</t>
  </si>
  <si>
    <t>TANKER</t>
  </si>
  <si>
    <t>A</t>
  </si>
  <si>
    <t>B</t>
  </si>
  <si>
    <t>E</t>
  </si>
  <si>
    <t>C</t>
  </si>
  <si>
    <t>D</t>
  </si>
  <si>
    <t>Ç</t>
  </si>
  <si>
    <t>F</t>
  </si>
  <si>
    <t>RAYİÇ BEDEL</t>
  </si>
  <si>
    <t>ARAÇ KODU</t>
  </si>
  <si>
    <t>RAYİÇ DEĞER KATSAYISI</t>
  </si>
  <si>
    <t>50000-99999</t>
  </si>
  <si>
    <t>100000-199999</t>
  </si>
  <si>
    <t>400000-499999</t>
  </si>
  <si>
    <t>500000-749999</t>
  </si>
  <si>
    <t>0-49999</t>
  </si>
  <si>
    <t>200000-249999</t>
  </si>
  <si>
    <t>250000-299999</t>
  </si>
  <si>
    <t>300000-349999</t>
  </si>
  <si>
    <t>350000-399999</t>
  </si>
  <si>
    <t>750000-999999</t>
  </si>
  <si>
    <t>1000000-1249000</t>
  </si>
  <si>
    <t>1250000-1499000</t>
  </si>
  <si>
    <t>1500000 ÜZERİ</t>
  </si>
  <si>
    <t>ARAÇ GRUB KODLARI</t>
  </si>
  <si>
    <t>RAYİÇ BEDEL KATSAYISI</t>
  </si>
  <si>
    <t>KİLOMETRE KATSAYISI</t>
  </si>
  <si>
    <t>KİLOMETRE</t>
  </si>
  <si>
    <t>R</t>
  </si>
  <si>
    <t>K</t>
  </si>
  <si>
    <t>0-19999</t>
  </si>
  <si>
    <t>ÇALIŞMA SAATİ</t>
  </si>
  <si>
    <t>20000-49999</t>
  </si>
  <si>
    <t>100000-149999</t>
  </si>
  <si>
    <t>150000-199999</t>
  </si>
  <si>
    <t>200000-299999</t>
  </si>
  <si>
    <t>300000-499999</t>
  </si>
  <si>
    <t>1000000 ÜZERİ</t>
  </si>
  <si>
    <t>0-500</t>
  </si>
  <si>
    <t>501-1000</t>
  </si>
  <si>
    <t>1001-2000</t>
  </si>
  <si>
    <t>2001-3000</t>
  </si>
  <si>
    <t>3001-4000</t>
  </si>
  <si>
    <t>4001-5000</t>
  </si>
  <si>
    <t>5001 ÜZERİ</t>
  </si>
  <si>
    <t>TİCARİ YA DA KIRALIK MI?</t>
  </si>
  <si>
    <t>GENEL DEĞERLENDİRME KATSAYISI</t>
  </si>
  <si>
    <t>G</t>
  </si>
  <si>
    <t>G1-TİCARİ,KİRALIK</t>
  </si>
  <si>
    <t>KATSAYI</t>
  </si>
  <si>
    <t>G2-SBM HASAR GEÇMİŞİ</t>
  </si>
  <si>
    <t>G3-KM PAYI</t>
  </si>
  <si>
    <t>EVET</t>
  </si>
  <si>
    <t>HAYIR</t>
  </si>
  <si>
    <t>0&lt;ALT SINIR&gt;=1000</t>
  </si>
  <si>
    <t>EVET/HAYIR</t>
  </si>
  <si>
    <t>G1-TİCARİ YA DA KİRALIK PARAMETRESİ</t>
  </si>
  <si>
    <t>SBM GEÇMİŞ HASAR ADEDİ</t>
  </si>
  <si>
    <t>G2-SBM GEÇMİŞ HASAR KATSAYISI</t>
  </si>
  <si>
    <t>TOPLAM DEĞER KAYBI</t>
  </si>
  <si>
    <t>ÖN PANEL (SAC)</t>
  </si>
  <si>
    <t>SAĞ ÖN ÇAMURLUK (SAC)</t>
  </si>
  <si>
    <t>SOL ÖN ÇAMURLUK (SAC)</t>
  </si>
  <si>
    <t>SAĞ ÖN PODYA SACI</t>
  </si>
  <si>
    <t>SOL ÖN PODYA SACI</t>
  </si>
  <si>
    <t>SAĞ ŞASE ÖN</t>
  </si>
  <si>
    <t>SOL ŞASE ÖN</t>
  </si>
  <si>
    <t>GÖĞÜS SACI</t>
  </si>
  <si>
    <t>SAĞ ÖN KAPI (KAPI SACI)</t>
  </si>
  <si>
    <t>SOL ÖN KAPI (KAPI SACI)</t>
  </si>
  <si>
    <t>SAĞ ARKA KAPI (KAPI SACI)</t>
  </si>
  <si>
    <t>SOL ARKA KAPI (KAPI SACI)</t>
  </si>
  <si>
    <t>SAĞ MARŞPİYEL (SAC)</t>
  </si>
  <si>
    <t>SOL MARŞPİYEL (SAC)</t>
  </si>
  <si>
    <t>A DİREĞİ SAĞ</t>
  </si>
  <si>
    <t>B DİREĞİ SAĞ</t>
  </si>
  <si>
    <t>A DİREĞİ SOL</t>
  </si>
  <si>
    <t>B DİREĞİ SOL</t>
  </si>
  <si>
    <t>SAĞ ARKA ÇAMURLUK</t>
  </si>
  <si>
    <t>SOL ARKA ÇAMURLUK</t>
  </si>
  <si>
    <t>SAĞ ŞASE ARKA</t>
  </si>
  <si>
    <t>SOL ŞASE ARKA</t>
  </si>
  <si>
    <t>MOTOR TRAVERSİ /DİNGİL</t>
  </si>
  <si>
    <t>SAĞ YAN HAVA YASTIĞI</t>
  </si>
  <si>
    <t>SOL YAN HAVA YASTIĞI</t>
  </si>
  <si>
    <t>HASAR MİKTARI</t>
  </si>
  <si>
    <t>DEĞİŞEN PARÇALAR</t>
  </si>
  <si>
    <t>OTOMOBİL TAKSİ (A GRUBU)</t>
  </si>
  <si>
    <t>ONARILAN PARÇALAR</t>
  </si>
  <si>
    <t>HAFİF</t>
  </si>
  <si>
    <t>ORTA</t>
  </si>
  <si>
    <t>AĞIR</t>
  </si>
  <si>
    <t>SEÇ</t>
  </si>
  <si>
    <t>BOYANACAK PARÇALAR</t>
  </si>
  <si>
    <t>TAM/LOKAL</t>
  </si>
  <si>
    <t>TAM</t>
  </si>
  <si>
    <t>LOKAL</t>
  </si>
  <si>
    <t>TOPLAM</t>
  </si>
  <si>
    <t>HASAR KATSAYISI</t>
  </si>
  <si>
    <t>YAN KAPAK 1</t>
  </si>
  <si>
    <t>YAN KAPAK 2</t>
  </si>
  <si>
    <t>YAN KAPAK 3</t>
  </si>
  <si>
    <t>YAN KAPAK 4</t>
  </si>
  <si>
    <t>YAN KAPAK 5</t>
  </si>
  <si>
    <t>YAN KAPAK 6</t>
  </si>
  <si>
    <t>YAN KAPAK 7</t>
  </si>
  <si>
    <t>YAN KAPAK 8</t>
  </si>
  <si>
    <t xml:space="preserve">ANA ŞASE </t>
  </si>
  <si>
    <t xml:space="preserve">SAĞ YAN PANEL SACI </t>
  </si>
  <si>
    <t xml:space="preserve">SOL YAN PANEL SACI </t>
  </si>
  <si>
    <t xml:space="preserve">SAĞ ÖN KAPI  </t>
  </si>
  <si>
    <t xml:space="preserve">SAĞ ARKA KAPI </t>
  </si>
  <si>
    <t xml:space="preserve">SIRT SACI </t>
  </si>
  <si>
    <t xml:space="preserve">TABAN SACI </t>
  </si>
  <si>
    <t xml:space="preserve">ÖN  İSKELET </t>
  </si>
  <si>
    <t xml:space="preserve">ARKA İSKELET </t>
  </si>
  <si>
    <t xml:space="preserve">YAN İSKELET </t>
  </si>
  <si>
    <t>MİNİBÜS OTOBÜS (B)</t>
  </si>
  <si>
    <t>KAMYON-KAMYONET C</t>
  </si>
  <si>
    <t>ANA ŞASE</t>
  </si>
  <si>
    <t>SOL ÖN DİREK SACI</t>
  </si>
  <si>
    <t>SAĞ ÖN DİREK SACI</t>
  </si>
  <si>
    <t>SAĞ YAN PANEL</t>
  </si>
  <si>
    <t>SOL YAN PANEL</t>
  </si>
  <si>
    <t>SAĞ ÖN KAPI</t>
  </si>
  <si>
    <t xml:space="preserve">SOL ÖN KAPI </t>
  </si>
  <si>
    <t xml:space="preserve">TÜNEL / TABAN SACI </t>
  </si>
  <si>
    <t>İŞ MAKİNESİ-TRAKTÖR (D)</t>
  </si>
  <si>
    <t xml:space="preserve">KABİN </t>
  </si>
  <si>
    <t>ŞASE</t>
  </si>
  <si>
    <t>ROMÖRK E</t>
  </si>
  <si>
    <t>TAVAN</t>
  </si>
  <si>
    <t xml:space="preserve">ŞASE </t>
  </si>
  <si>
    <t xml:space="preserve">SAĞ YAN PANEL </t>
  </si>
  <si>
    <t xml:space="preserve">SOL YAN PANEL </t>
  </si>
  <si>
    <t xml:space="preserve">ARKA SOL KAPAK </t>
  </si>
  <si>
    <t xml:space="preserve">ARKA SAĞ KAPAK </t>
  </si>
  <si>
    <t>MOTORSİKLET F</t>
  </si>
  <si>
    <t>YAKIT DEPOSU</t>
  </si>
  <si>
    <t>GİDON</t>
  </si>
  <si>
    <t>KAFA DEMİRİ</t>
  </si>
  <si>
    <t>YENİ FİYAT</t>
  </si>
  <si>
    <t>İŞÇİLİK</t>
  </si>
  <si>
    <t>HATIRLATMA : Onarılan parçanın, parça fiyatı ve işçilik bedeli iskontosuz KDV hariç olacaktır</t>
  </si>
  <si>
    <t>G3-KİLOMETRE ALT SINIRA YAKINLIK KATSAYISI</t>
  </si>
  <si>
    <t>SİGORTA ŞİRKETLERİ</t>
  </si>
  <si>
    <t>AK SİGORTA</t>
  </si>
  <si>
    <t>ALLIANZ SİGORTA</t>
  </si>
  <si>
    <t>ANA SİGORTA</t>
  </si>
  <si>
    <t>ANADOLU SİGORTA</t>
  </si>
  <si>
    <t>ANKARA SİGORTA</t>
  </si>
  <si>
    <t>AREX SİGORTA</t>
  </si>
  <si>
    <t>ATLAS SİGORTA</t>
  </si>
  <si>
    <t>ATRADIUS SİGORTA</t>
  </si>
  <si>
    <t>AXA SİGORTA</t>
  </si>
  <si>
    <t>BEREKET KATILIM SİGORTA</t>
  </si>
  <si>
    <t>BEREKET SİGORTA</t>
  </si>
  <si>
    <t>BNP CARDIF SİGORTA</t>
  </si>
  <si>
    <t>CHUBB EUROPEAN SİGORTA</t>
  </si>
  <si>
    <t>COFACE SİGORTA</t>
  </si>
  <si>
    <t>CORPUS SİGORTA</t>
  </si>
  <si>
    <t>DOĞA SİGORTA</t>
  </si>
  <si>
    <t>DUBAİ SİGORTA</t>
  </si>
  <si>
    <t>EGE SİGORTA</t>
  </si>
  <si>
    <t>ERGO SİGORTA</t>
  </si>
  <si>
    <t>ETHICA SİGORTA</t>
  </si>
  <si>
    <t>EULER HERMES SİGORTA</t>
  </si>
  <si>
    <t>EUREKO SİGORTA</t>
  </si>
  <si>
    <t>GENERALİ SİGORTA</t>
  </si>
  <si>
    <t>GRI SİGORTA</t>
  </si>
  <si>
    <t>GROUPAMA SİGORTA</t>
  </si>
  <si>
    <t>GULF SİGORTA</t>
  </si>
  <si>
    <t>GULF SİGORTA (ESKİ)</t>
  </si>
  <si>
    <t>GÜVEN SİGORTA</t>
  </si>
  <si>
    <t>HALK SİGORTA</t>
  </si>
  <si>
    <t>HDI SİGORTA</t>
  </si>
  <si>
    <t>HUR SİGORTA</t>
  </si>
  <si>
    <t>KORU SİGORTA</t>
  </si>
  <si>
    <t>LIBERTY SİGORTA</t>
  </si>
  <si>
    <t>MAGDEBURGER SİGORTA</t>
  </si>
  <si>
    <t>MAPFRE SİGORTA</t>
  </si>
  <si>
    <t>NEOVA KATILIM SİGORTA</t>
  </si>
  <si>
    <t>ORIENT SİGORTA</t>
  </si>
  <si>
    <t>PANDI SİGORTA</t>
  </si>
  <si>
    <t>PRİVE SİGORTA</t>
  </si>
  <si>
    <t>QUICK SİGORTA</t>
  </si>
  <si>
    <t>RAY SİGORTA</t>
  </si>
  <si>
    <t>SOMPO SİGORTA</t>
  </si>
  <si>
    <t>TMT SİGORTA</t>
  </si>
  <si>
    <t>TÜRK NİPPON SİGORTA</t>
  </si>
  <si>
    <t>TÜRKİYE (GÜNEŞ) SİGORTA</t>
  </si>
  <si>
    <t>TÜRKİYE SİGORTA</t>
  </si>
  <si>
    <t>UNICO SİGORTA</t>
  </si>
  <si>
    <t>YAPI KREDİ SİGORTA</t>
  </si>
  <si>
    <t>ZURICH SİGORTA</t>
  </si>
  <si>
    <t>ZİRAAT SİGORTA</t>
  </si>
  <si>
    <t>ŞEKER SİGORTA</t>
  </si>
  <si>
    <t>MODEL YILI</t>
  </si>
  <si>
    <t>SOL ÖN KAPI</t>
  </si>
  <si>
    <t>SOL ARKA KAPI</t>
  </si>
  <si>
    <t>SAĞ PODYA SACI</t>
  </si>
  <si>
    <t>SOL PODYA SACI</t>
  </si>
  <si>
    <t>BAGAJ KAPAĞI SAĞ</t>
  </si>
  <si>
    <t>BAGAJ KAPAĞI SOL</t>
  </si>
  <si>
    <t>BAGAJ KAPAĞI (TEK)</t>
  </si>
  <si>
    <t>SAĞ BOMBE SACI</t>
  </si>
  <si>
    <t>SOL BOMBE SACI</t>
  </si>
  <si>
    <t>SAĞ MARŞPİYEL SACI</t>
  </si>
  <si>
    <t>SOL MARŞPİYEL SACI</t>
  </si>
  <si>
    <t>SÜRÜCÜ AIRBAG</t>
  </si>
  <si>
    <t>YOLCU AIRBAG</t>
  </si>
  <si>
    <t>YAŞ KATSAYI</t>
  </si>
  <si>
    <t>YAŞI</t>
  </si>
  <si>
    <t>0-2</t>
  </si>
  <si>
    <t>8-10</t>
  </si>
  <si>
    <t>11-13</t>
  </si>
  <si>
    <t>14-16</t>
  </si>
  <si>
    <t>17-19</t>
  </si>
  <si>
    <t>20 Üstü</t>
  </si>
  <si>
    <t>3-4</t>
  </si>
  <si>
    <t>5-7</t>
  </si>
  <si>
    <t>KAPAK SAC</t>
  </si>
  <si>
    <t xml:space="preserve">MOTOR  KAPUTU (SAC) </t>
  </si>
  <si>
    <t xml:space="preserve">SAĞ ÇAMURLUK (SAC) </t>
  </si>
  <si>
    <t>SOL ÇAMURLUK (SAC)</t>
  </si>
  <si>
    <t>HASAR TARİHİ  (Örn: 01.01.1990)</t>
  </si>
  <si>
    <t>formülle koyulacak 5 sınırı---trimli,trimsiz kabin ayrımı yapılacak</t>
  </si>
  <si>
    <t>KABİN (TRİMSİZ)</t>
  </si>
  <si>
    <t>SONRADAN EKLENENLER</t>
  </si>
  <si>
    <t>SOL YAN PANEL (TİCARİ VE CABRİO)</t>
  </si>
  <si>
    <t>SAĞ YAN PANEL (TİCARİ VE CABRİO)</t>
  </si>
  <si>
    <t>ARKA DUVAR PANELİ</t>
  </si>
  <si>
    <t>ARKA KOVAN</t>
  </si>
  <si>
    <t>ARKA DİNGİL/KOVAN</t>
  </si>
  <si>
    <t>ÇAMURLUK (SAC-OTOBÜS)</t>
  </si>
  <si>
    <t>MOTOR KAPUTU  (SAC)</t>
  </si>
  <si>
    <t>ÖN DUVAR</t>
  </si>
  <si>
    <t>REEL PİYASA ANALİZ YÖNTEMİ ESASIYLA HESAPLAMA REHBERİ UYGULAMA ESASLARI</t>
  </si>
  <si>
    <t>1. AMAÇ VE KAPSAM</t>
  </si>
  <si>
    <r>
      <t xml:space="preserve">Bu kılavuz; motorlu kara taşıtlarında meydana gelen hasarlar sonrası oluşan değer kaybının, </t>
    </r>
    <r>
      <rPr>
        <b/>
        <sz val="12"/>
        <color theme="1"/>
        <rFont val="Times New Roman"/>
        <family val="1"/>
        <charset val="162"/>
      </rPr>
      <t>gerçek zarar ilkesi</t>
    </r>
    <r>
      <rPr>
        <sz val="12"/>
        <color theme="1"/>
        <rFont val="Times New Roman"/>
        <family val="1"/>
        <charset val="162"/>
      </rPr>
      <t xml:space="preserve">, </t>
    </r>
    <r>
      <rPr>
        <b/>
        <sz val="12"/>
        <color theme="1"/>
        <rFont val="Times New Roman"/>
        <family val="1"/>
        <charset val="162"/>
      </rPr>
      <t>reel piyasa verileri</t>
    </r>
    <r>
      <rPr>
        <sz val="12"/>
        <color theme="1"/>
        <rFont val="Times New Roman"/>
        <family val="1"/>
        <charset val="162"/>
      </rPr>
      <t xml:space="preserve"> ve </t>
    </r>
    <r>
      <rPr>
        <b/>
        <sz val="12"/>
        <color theme="1"/>
        <rFont val="Times New Roman"/>
        <family val="1"/>
        <charset val="162"/>
      </rPr>
      <t>objektif teknik kriterler</t>
    </r>
    <r>
      <rPr>
        <sz val="12"/>
        <color theme="1"/>
        <rFont val="Times New Roman"/>
        <family val="1"/>
        <charset val="162"/>
      </rPr>
      <t xml:space="preserve"> esas alınarak ölçülebilir bir tazminat hesaplanmasını sağlamak amacıyla hazırlanmıştır.</t>
    </r>
  </si>
  <si>
    <t>Bu yöntem ile;</t>
  </si>
  <si>
    <r>
      <t xml:space="preserve">Değer kaybı tazminat hesaplamalarında </t>
    </r>
    <r>
      <rPr>
        <b/>
        <sz val="12"/>
        <color theme="1"/>
        <rFont val="Times New Roman"/>
        <family val="1"/>
        <charset val="162"/>
      </rPr>
      <t>yeknesaklığın sağlanması</t>
    </r>
    <r>
      <rPr>
        <sz val="12"/>
        <color theme="1"/>
        <rFont val="Times New Roman"/>
        <family val="1"/>
        <charset val="162"/>
      </rPr>
      <t xml:space="preserve">, </t>
    </r>
  </si>
  <si>
    <r>
      <t xml:space="preserve">Değer kaybı tazminat hesaplamalarının </t>
    </r>
    <r>
      <rPr>
        <b/>
        <sz val="12"/>
        <color theme="1"/>
        <rFont val="Times New Roman"/>
        <family val="1"/>
        <charset val="162"/>
      </rPr>
      <t>ölçülebilir, izlenebilir ve</t>
    </r>
    <r>
      <rPr>
        <sz val="12"/>
        <color theme="1"/>
        <rFont val="Times New Roman"/>
        <family val="1"/>
        <charset val="162"/>
      </rPr>
      <t xml:space="preserve"> </t>
    </r>
    <r>
      <rPr>
        <b/>
        <sz val="12"/>
        <color theme="1"/>
        <rFont val="Times New Roman"/>
        <family val="1"/>
        <charset val="162"/>
      </rPr>
      <t>denetlenebilir hale getirilmesi</t>
    </r>
    <r>
      <rPr>
        <sz val="12"/>
        <color theme="1"/>
        <rFont val="Times New Roman"/>
        <family val="1"/>
        <charset val="162"/>
      </rPr>
      <t xml:space="preserve">, </t>
    </r>
  </si>
  <si>
    <r>
      <t xml:space="preserve">Yargı kararları ile uyumlu </t>
    </r>
    <r>
      <rPr>
        <b/>
        <sz val="12"/>
        <color theme="1"/>
        <rFont val="Times New Roman"/>
        <family val="1"/>
        <charset val="162"/>
      </rPr>
      <t>bilimsel ve teknik bir model oluşturulması</t>
    </r>
    <r>
      <rPr>
        <sz val="12"/>
        <color theme="1"/>
        <rFont val="Times New Roman"/>
        <family val="1"/>
        <charset val="162"/>
      </rPr>
      <t xml:space="preserve">, </t>
    </r>
  </si>
  <si>
    <t xml:space="preserve">Değer kaybı tazminat hesaplamalarında subjektif değerlendirmelerin en aza indirilmesi, </t>
  </si>
  <si>
    <t>hedeflenmektedir.</t>
  </si>
  <si>
    <t>2. TEMEL İLKELER</t>
  </si>
  <si>
    <r>
      <t>2.1</t>
    </r>
    <r>
      <rPr>
        <b/>
        <sz val="7"/>
        <color theme="1"/>
        <rFont val="Times New Roman"/>
        <family val="1"/>
        <charset val="162"/>
      </rPr>
      <t xml:space="preserve">  </t>
    </r>
    <r>
      <rPr>
        <sz val="12"/>
        <color theme="1"/>
        <rFont val="Times New Roman"/>
        <family val="1"/>
        <charset val="162"/>
      </rPr>
      <t xml:space="preserve">Değer kaybı tazminat hesaplaması; aracın </t>
    </r>
    <r>
      <rPr>
        <b/>
        <sz val="12"/>
        <color theme="1"/>
        <rFont val="Times New Roman"/>
        <family val="1"/>
        <charset val="162"/>
      </rPr>
      <t>kaza öncesi hasarsız rayiç değeri</t>
    </r>
    <r>
      <rPr>
        <sz val="12"/>
        <color theme="1"/>
        <rFont val="Times New Roman"/>
        <family val="1"/>
        <charset val="162"/>
      </rPr>
      <t xml:space="preserve"> ile </t>
    </r>
    <r>
      <rPr>
        <b/>
        <sz val="12"/>
        <color theme="1"/>
        <rFont val="Times New Roman"/>
        <family val="1"/>
        <charset val="162"/>
      </rPr>
      <t>onarım sonrası piyasa rayiç değeri</t>
    </r>
    <r>
      <rPr>
        <sz val="12"/>
        <color theme="1"/>
        <rFont val="Times New Roman"/>
        <family val="1"/>
        <charset val="162"/>
      </rPr>
      <t xml:space="preserve"> arasındaki fark gözetilerek </t>
    </r>
    <r>
      <rPr>
        <b/>
        <sz val="12"/>
        <color theme="1"/>
        <rFont val="Times New Roman"/>
        <family val="1"/>
        <charset val="162"/>
      </rPr>
      <t>Yargıtay tarafından</t>
    </r>
    <r>
      <rPr>
        <sz val="12"/>
        <color theme="1"/>
        <rFont val="Times New Roman"/>
        <family val="1"/>
        <charset val="162"/>
      </rPr>
      <t xml:space="preserve"> belirlenen parametreler esas alınarak yapılır. </t>
    </r>
  </si>
  <si>
    <r>
      <t>2.2</t>
    </r>
    <r>
      <rPr>
        <b/>
        <sz val="7"/>
        <color theme="1"/>
        <rFont val="Times New Roman"/>
        <family val="1"/>
        <charset val="162"/>
      </rPr>
      <t xml:space="preserve">  </t>
    </r>
    <r>
      <rPr>
        <sz val="12"/>
        <color theme="1"/>
        <rFont val="Times New Roman"/>
        <family val="1"/>
        <charset val="162"/>
      </rPr>
      <t xml:space="preserve">Hesaplamalarda esas alınan tüm veriler: </t>
    </r>
  </si>
  <si>
    <r>
      <t>·</t>
    </r>
    <r>
      <rPr>
        <sz val="7"/>
        <color theme="1"/>
        <rFont val="Times New Roman"/>
        <family val="1"/>
        <charset val="162"/>
      </rPr>
      <t xml:space="preserve">         </t>
    </r>
    <r>
      <rPr>
        <sz val="12"/>
        <color theme="1"/>
        <rFont val="Times New Roman"/>
        <family val="1"/>
        <charset val="162"/>
      </rPr>
      <t xml:space="preserve">Belgelenebilir, </t>
    </r>
  </si>
  <si>
    <r>
      <t>·</t>
    </r>
    <r>
      <rPr>
        <sz val="7"/>
        <color theme="1"/>
        <rFont val="Times New Roman"/>
        <family val="1"/>
        <charset val="162"/>
      </rPr>
      <t xml:space="preserve">         </t>
    </r>
    <r>
      <rPr>
        <sz val="12"/>
        <color theme="1"/>
        <rFont val="Times New Roman"/>
        <family val="1"/>
        <charset val="162"/>
      </rPr>
      <t xml:space="preserve">Doğrulanabilir, </t>
    </r>
  </si>
  <si>
    <r>
      <t>·</t>
    </r>
    <r>
      <rPr>
        <sz val="7"/>
        <color theme="1"/>
        <rFont val="Times New Roman"/>
        <family val="1"/>
        <charset val="162"/>
      </rPr>
      <t xml:space="preserve">         </t>
    </r>
    <r>
      <rPr>
        <sz val="12"/>
        <color theme="1"/>
        <rFont val="Times New Roman"/>
        <family val="1"/>
        <charset val="162"/>
      </rPr>
      <t>Denetime açık,</t>
    </r>
  </si>
  <si>
    <t xml:space="preserve">olmak zorundadır. </t>
  </si>
  <si>
    <r>
      <t>2.3</t>
    </r>
    <r>
      <rPr>
        <b/>
        <sz val="7"/>
        <color theme="1"/>
        <rFont val="Times New Roman"/>
        <family val="1"/>
        <charset val="162"/>
      </rPr>
      <t xml:space="preserve">  </t>
    </r>
    <r>
      <rPr>
        <sz val="12"/>
        <color theme="1"/>
        <rFont val="Times New Roman"/>
        <family val="1"/>
        <charset val="162"/>
      </rPr>
      <t xml:space="preserve">Hesaplama sürecinde doğruluğun ve yeknesaklığın sağlanabilmesi için </t>
    </r>
    <r>
      <rPr>
        <b/>
        <sz val="12"/>
        <color theme="1"/>
        <rFont val="Times New Roman"/>
        <family val="1"/>
        <charset val="162"/>
      </rPr>
      <t>kanaat/yorum değil, veri ve analiz parametreleri, yargı kararları çerçevesinde</t>
    </r>
    <r>
      <rPr>
        <sz val="12"/>
        <color theme="1"/>
        <rFont val="Times New Roman"/>
        <family val="1"/>
        <charset val="162"/>
      </rPr>
      <t xml:space="preserve"> esas alınır. </t>
    </r>
  </si>
  <si>
    <t>3. HASAR VE PARÇA DEĞERLENDİRME ESASLARI</t>
  </si>
  <si>
    <r>
      <t>3.1</t>
    </r>
    <r>
      <rPr>
        <b/>
        <sz val="7"/>
        <color rgb="FF000000"/>
        <rFont val="Times New Roman"/>
        <family val="1"/>
        <charset val="162"/>
      </rPr>
      <t xml:space="preserve">  </t>
    </r>
    <r>
      <rPr>
        <sz val="11"/>
        <color theme="1"/>
        <rFont val="Times New Roman"/>
        <family val="1"/>
        <charset val="162"/>
      </rPr>
      <t>Hasar gören parçalar aşağıdaki şekilde sınıflandırılır:</t>
    </r>
  </si>
  <si>
    <r>
      <t>·</t>
    </r>
    <r>
      <rPr>
        <sz val="7"/>
        <color theme="1"/>
        <rFont val="Times New Roman"/>
        <family val="1"/>
        <charset val="162"/>
      </rPr>
      <t xml:space="preserve">         </t>
    </r>
    <r>
      <rPr>
        <b/>
        <sz val="11"/>
        <color theme="1"/>
        <rFont val="Times New Roman"/>
        <family val="1"/>
        <charset val="162"/>
      </rPr>
      <t>Yapısal Parçalar:</t>
    </r>
    <r>
      <rPr>
        <sz val="11"/>
        <color theme="1"/>
        <rFont val="Times New Roman"/>
        <family val="1"/>
        <charset val="162"/>
      </rPr>
      <t xml:space="preserve"> şasi, podya sacları ve kuleler, direkler, tavan, taban sacları, ön göğüs sacları,</t>
    </r>
  </si>
  <si>
    <r>
      <t>·</t>
    </r>
    <r>
      <rPr>
        <sz val="7"/>
        <color theme="1"/>
        <rFont val="Times New Roman"/>
        <family val="1"/>
        <charset val="162"/>
      </rPr>
      <t xml:space="preserve">         </t>
    </r>
    <r>
      <rPr>
        <b/>
        <sz val="11"/>
        <color theme="1"/>
        <rFont val="Times New Roman"/>
        <family val="1"/>
        <charset val="162"/>
      </rPr>
      <t>Yarı Yapısal Parçalar:</t>
    </r>
    <r>
      <rPr>
        <sz val="11"/>
        <color theme="1"/>
        <rFont val="Times New Roman"/>
        <family val="1"/>
        <charset val="162"/>
      </rPr>
      <t xml:space="preserve"> marşpiyel, arka panel, kaynaklı havuz sacları, yan duvar ve sırt sacları, </t>
    </r>
  </si>
  <si>
    <r>
      <t>·</t>
    </r>
    <r>
      <rPr>
        <sz val="7"/>
        <color theme="1"/>
        <rFont val="Times New Roman"/>
        <family val="1"/>
        <charset val="162"/>
      </rPr>
      <t xml:space="preserve">         </t>
    </r>
    <r>
      <rPr>
        <b/>
        <sz val="11"/>
        <color theme="1"/>
        <rFont val="Times New Roman"/>
        <family val="1"/>
        <charset val="162"/>
      </rPr>
      <t>Kozmetik Parçalar:</t>
    </r>
    <r>
      <rPr>
        <sz val="11"/>
        <color theme="1"/>
        <rFont val="Times New Roman"/>
        <family val="1"/>
        <charset val="162"/>
      </rPr>
      <t xml:space="preserve"> kaput, çamurluk, tampon, bagaj kapağı, dolap kapakları vb.</t>
    </r>
  </si>
  <si>
    <r>
      <t xml:space="preserve">Her sınıf için, almış olduğu hasara bağlı olarak farklı katsayı ile değerlendirme yapılır. Bu kapsamda, hasar yoğunluğuna göre; </t>
    </r>
    <r>
      <rPr>
        <b/>
        <sz val="11"/>
        <color theme="1"/>
        <rFont val="Times New Roman"/>
        <family val="1"/>
        <charset val="162"/>
      </rPr>
      <t>h</t>
    </r>
    <r>
      <rPr>
        <b/>
        <sz val="12"/>
        <color theme="1"/>
        <rFont val="Times New Roman"/>
        <family val="1"/>
        <charset val="162"/>
      </rPr>
      <t>afif</t>
    </r>
    <r>
      <rPr>
        <sz val="11"/>
        <color theme="1"/>
        <rFont val="Calibri"/>
        <family val="2"/>
        <charset val="162"/>
        <scheme val="minor"/>
      </rPr>
      <t xml:space="preserve"> –</t>
    </r>
    <r>
      <rPr>
        <b/>
        <sz val="12"/>
        <color theme="1"/>
        <rFont val="Times New Roman"/>
        <family val="1"/>
        <charset val="162"/>
      </rPr>
      <t>orta-</t>
    </r>
    <r>
      <rPr>
        <sz val="11"/>
        <color theme="1"/>
        <rFont val="Calibri"/>
        <family val="2"/>
        <charset val="162"/>
        <scheme val="minor"/>
      </rPr>
      <t xml:space="preserve"> </t>
    </r>
    <r>
      <rPr>
        <b/>
        <sz val="12"/>
        <color theme="1"/>
        <rFont val="Times New Roman"/>
        <family val="1"/>
        <charset val="162"/>
      </rPr>
      <t xml:space="preserve">ağır onarım </t>
    </r>
    <r>
      <rPr>
        <sz val="12"/>
        <color theme="1"/>
        <rFont val="Times New Roman"/>
        <family val="1"/>
        <charset val="162"/>
      </rPr>
      <t xml:space="preserve">olmak üzere </t>
    </r>
    <r>
      <rPr>
        <sz val="11"/>
        <color theme="1"/>
        <rFont val="Times New Roman"/>
        <family val="1"/>
        <charset val="162"/>
      </rPr>
      <t>değer kaybına etkisi farklı katsayı ile değerlendirilir.</t>
    </r>
  </si>
  <si>
    <r>
      <t>3.2</t>
    </r>
    <r>
      <rPr>
        <b/>
        <sz val="7"/>
        <color rgb="FF000000"/>
        <rFont val="Times New Roman"/>
        <family val="1"/>
        <charset val="162"/>
      </rPr>
      <t xml:space="preserve">  </t>
    </r>
    <r>
      <rPr>
        <sz val="11"/>
        <color theme="1"/>
        <rFont val="Times New Roman"/>
        <family val="1"/>
        <charset val="162"/>
      </rPr>
      <t>Boya işlemi gören parçalar aşağıdaki şekilde sınıflandırılır:</t>
    </r>
  </si>
  <si>
    <r>
      <t>·</t>
    </r>
    <r>
      <rPr>
        <sz val="7"/>
        <color theme="1"/>
        <rFont val="Times New Roman"/>
        <family val="1"/>
        <charset val="162"/>
      </rPr>
      <t xml:space="preserve">         </t>
    </r>
    <r>
      <rPr>
        <b/>
        <sz val="11"/>
        <color theme="1"/>
        <rFont val="Calibri"/>
        <family val="2"/>
        <scheme val="minor"/>
      </rPr>
      <t>Lokal boya:</t>
    </r>
    <r>
      <rPr>
        <sz val="11"/>
        <color theme="1"/>
        <rFont val="Calibri"/>
        <family val="2"/>
        <scheme val="minor"/>
      </rPr>
      <t xml:space="preserve"> düşük etki</t>
    </r>
  </si>
  <si>
    <r>
      <t>·</t>
    </r>
    <r>
      <rPr>
        <sz val="7"/>
        <color theme="1"/>
        <rFont val="Times New Roman"/>
        <family val="1"/>
        <charset val="162"/>
      </rPr>
      <t xml:space="preserve">         </t>
    </r>
    <r>
      <rPr>
        <b/>
        <sz val="11"/>
        <color theme="1"/>
        <rFont val="Calibri"/>
        <family val="2"/>
        <scheme val="minor"/>
      </rPr>
      <t xml:space="preserve">Komple boya: </t>
    </r>
    <r>
      <rPr>
        <sz val="11"/>
        <color theme="1"/>
        <rFont val="Calibri"/>
        <family val="2"/>
        <scheme val="minor"/>
      </rPr>
      <t>orta etki</t>
    </r>
  </si>
  <si>
    <r>
      <t>·</t>
    </r>
    <r>
      <rPr>
        <sz val="7"/>
        <color theme="1"/>
        <rFont val="Times New Roman"/>
        <family val="1"/>
        <charset val="162"/>
      </rPr>
      <t xml:space="preserve">         </t>
    </r>
    <r>
      <rPr>
        <b/>
        <sz val="11"/>
        <color theme="1"/>
        <rFont val="Calibri"/>
        <family val="2"/>
        <scheme val="minor"/>
      </rPr>
      <t xml:space="preserve">Çoklu boya: </t>
    </r>
    <r>
      <rPr>
        <sz val="11"/>
        <color theme="1"/>
        <rFont val="Calibri"/>
        <family val="2"/>
        <scheme val="minor"/>
      </rPr>
      <t>yüksek etki</t>
    </r>
  </si>
  <si>
    <r>
      <t>·</t>
    </r>
    <r>
      <rPr>
        <sz val="7"/>
        <color theme="1"/>
        <rFont val="Times New Roman"/>
        <family val="1"/>
        <charset val="162"/>
      </rPr>
      <t xml:space="preserve">         </t>
    </r>
    <r>
      <rPr>
        <b/>
        <sz val="11"/>
        <color theme="1"/>
        <rFont val="Calibri"/>
        <family val="2"/>
        <scheme val="minor"/>
      </rPr>
      <t xml:space="preserve">Parça değişimi: </t>
    </r>
    <r>
      <rPr>
        <sz val="11"/>
        <color theme="1"/>
        <rFont val="Calibri"/>
        <family val="2"/>
        <scheme val="minor"/>
      </rPr>
      <t>maksimum etki</t>
    </r>
  </si>
  <si>
    <t>Her sınıf için değer kaybına etkisi farklı katsayı ile değerlendirilir.</t>
  </si>
  <si>
    <r>
      <t>3.3</t>
    </r>
    <r>
      <rPr>
        <b/>
        <sz val="7"/>
        <color rgb="FF000000"/>
        <rFont val="Times New Roman"/>
        <family val="1"/>
        <charset val="162"/>
      </rPr>
      <t xml:space="preserve">  </t>
    </r>
    <r>
      <rPr>
        <sz val="12"/>
        <color rgb="FF000000"/>
        <rFont val="Times New Roman"/>
        <family val="1"/>
        <charset val="162"/>
      </rPr>
      <t xml:space="preserve">Hasara uğrayan parçanın onarılması durumunda </t>
    </r>
    <r>
      <rPr>
        <b/>
        <sz val="12"/>
        <color rgb="FF000000"/>
        <rFont val="Times New Roman"/>
        <family val="1"/>
        <charset val="162"/>
      </rPr>
      <t xml:space="preserve">KDV hariç ve iskontosuz parça bedeli </t>
    </r>
    <r>
      <rPr>
        <sz val="12"/>
        <color rgb="FF000000"/>
        <rFont val="Times New Roman"/>
        <family val="1"/>
        <charset val="162"/>
      </rPr>
      <t xml:space="preserve">değerlendirmede dikkate alınır. Sigorta eksperi tarafından aracın değer kaybına esas kazasından kaynaklanan hasar onarımına ilişkin bilgi ve belgelerden hasar gören parçaların parça bedelleri ile işçilik bedellerinin </t>
    </r>
    <r>
      <rPr>
        <b/>
        <sz val="12"/>
        <color rgb="FF000000"/>
        <rFont val="Times New Roman"/>
        <family val="1"/>
        <charset val="162"/>
      </rPr>
      <t>tespit edilememesi halinde</t>
    </r>
    <r>
      <rPr>
        <sz val="12"/>
        <color rgb="FF000000"/>
        <rFont val="Times New Roman"/>
        <family val="1"/>
        <charset val="162"/>
      </rPr>
      <t xml:space="preserve"> bu parçalar için doğrudan </t>
    </r>
    <r>
      <rPr>
        <b/>
        <sz val="12"/>
        <color rgb="FF000000"/>
        <rFont val="Times New Roman"/>
        <family val="1"/>
        <charset val="162"/>
      </rPr>
      <t>yüksek onarım katsayısı</t>
    </r>
    <r>
      <rPr>
        <sz val="12"/>
        <color rgb="FF000000"/>
        <rFont val="Times New Roman"/>
        <family val="1"/>
        <charset val="162"/>
      </rPr>
      <t xml:space="preserve"> uygulanır. Parça bedeli hesaplamasında, tespit edilebilmesi halinde araç üzerindeki parçanın türü (orijinal/eşdeğer) dikkate alınır.  </t>
    </r>
  </si>
  <si>
    <r>
      <t>3.4</t>
    </r>
    <r>
      <rPr>
        <b/>
        <sz val="7"/>
        <color rgb="FF000000"/>
        <rFont val="Times New Roman"/>
        <family val="1"/>
        <charset val="162"/>
      </rPr>
      <t xml:space="preserve">  </t>
    </r>
    <r>
      <rPr>
        <sz val="12"/>
        <color theme="1"/>
        <rFont val="Times New Roman"/>
        <family val="1"/>
        <charset val="162"/>
      </rPr>
      <t xml:space="preserve">Onarılan kaporta parçasının KDV'siz ve indirimsiz fiyatının </t>
    </r>
    <r>
      <rPr>
        <b/>
        <sz val="12"/>
        <color theme="1"/>
        <rFont val="Times New Roman"/>
        <family val="1"/>
        <charset val="162"/>
      </rPr>
      <t xml:space="preserve">%15' ine kadar hafif, %15-%30 aralığı orta, %30 üzeri ağır </t>
    </r>
    <r>
      <rPr>
        <sz val="12"/>
        <color theme="1"/>
        <rFont val="Times New Roman"/>
        <family val="1"/>
        <charset val="162"/>
      </rPr>
      <t xml:space="preserve">onarım kaporta katsayısı olarak değerlendirilir.  </t>
    </r>
  </si>
  <si>
    <r>
      <t>3.5</t>
    </r>
    <r>
      <rPr>
        <b/>
        <sz val="7"/>
        <color rgb="FF000000"/>
        <rFont val="Times New Roman"/>
        <family val="1"/>
        <charset val="162"/>
      </rPr>
      <t xml:space="preserve">  </t>
    </r>
    <r>
      <rPr>
        <sz val="12"/>
        <color theme="1"/>
        <rFont val="Times New Roman"/>
        <family val="1"/>
        <charset val="162"/>
      </rPr>
      <t xml:space="preserve">İlave değerlendirmeler bölümünde yer alan </t>
    </r>
    <r>
      <rPr>
        <b/>
        <sz val="12"/>
        <color theme="1"/>
        <rFont val="Times New Roman"/>
        <family val="1"/>
        <charset val="162"/>
      </rPr>
      <t>kilometre alt sınır yakınlığı</t>
    </r>
    <r>
      <rPr>
        <sz val="12"/>
        <color theme="1"/>
        <rFont val="Times New Roman"/>
        <family val="1"/>
        <charset val="162"/>
      </rPr>
      <t xml:space="preserve">, aracın kilometresinin kilometre çarpan tablosundaki alt sınıra yakınlığının </t>
    </r>
    <r>
      <rPr>
        <b/>
        <sz val="12"/>
        <color theme="1"/>
        <rFont val="Times New Roman"/>
        <family val="1"/>
        <charset val="162"/>
      </rPr>
      <t>en fazla 1.000 Km</t>
    </r>
    <r>
      <rPr>
        <sz val="12"/>
        <color theme="1"/>
        <rFont val="Times New Roman"/>
        <family val="1"/>
        <charset val="162"/>
      </rPr>
      <t xml:space="preserve"> olması durumunda dikkate alınır. </t>
    </r>
  </si>
  <si>
    <r>
      <t>3.6</t>
    </r>
    <r>
      <rPr>
        <b/>
        <sz val="7"/>
        <color rgb="FF000000"/>
        <rFont val="Times New Roman"/>
        <family val="1"/>
        <charset val="162"/>
      </rPr>
      <t xml:space="preserve">  </t>
    </r>
    <r>
      <rPr>
        <sz val="12"/>
        <color theme="1"/>
        <rFont val="Times New Roman"/>
        <family val="1"/>
        <charset val="162"/>
      </rPr>
      <t xml:space="preserve">Araç kullanım türü bölümünde </t>
    </r>
    <r>
      <rPr>
        <b/>
        <sz val="12"/>
        <color theme="1"/>
        <rFont val="Times New Roman"/>
        <family val="1"/>
        <charset val="162"/>
      </rPr>
      <t>ticari araç ile ifade edilen</t>
    </r>
    <r>
      <rPr>
        <sz val="12"/>
        <color theme="1"/>
        <rFont val="Times New Roman"/>
        <family val="1"/>
        <charset val="162"/>
      </rPr>
      <t xml:space="preserve"> </t>
    </r>
    <r>
      <rPr>
        <b/>
        <sz val="12"/>
        <color theme="1"/>
        <rFont val="Times New Roman"/>
        <family val="1"/>
        <charset val="162"/>
      </rPr>
      <t>araç türü</t>
    </r>
    <r>
      <rPr>
        <sz val="12"/>
        <color theme="1"/>
        <rFont val="Times New Roman"/>
        <family val="1"/>
        <charset val="162"/>
      </rPr>
      <t>; ruhsatında kamyonet olarak geçen koltuklu hususi görünümlü panelvan türü araçlar ile hatlı minibüs, dolmuş, taksi, hatlı otobüstür.</t>
    </r>
  </si>
  <si>
    <r>
      <t>3.7</t>
    </r>
    <r>
      <rPr>
        <b/>
        <sz val="7"/>
        <color rgb="FF000000"/>
        <rFont val="Times New Roman"/>
        <family val="1"/>
        <charset val="162"/>
      </rPr>
      <t xml:space="preserve">  </t>
    </r>
    <r>
      <rPr>
        <sz val="12"/>
        <color theme="1"/>
        <rFont val="Times New Roman"/>
        <family val="1"/>
        <charset val="162"/>
      </rPr>
      <t xml:space="preserve">Hususi cabrio ve/veya tek kapılı hafif ticari kamyonet tipi araçlarda arka çamurluk hesaplamalarında parça türü olarak sağ/sol yan panel dikkate alınır.  </t>
    </r>
  </si>
  <si>
    <r>
      <t>3.8</t>
    </r>
    <r>
      <rPr>
        <b/>
        <sz val="7"/>
        <color rgb="FF000000"/>
        <rFont val="Times New Roman"/>
        <family val="1"/>
        <charset val="162"/>
      </rPr>
      <t xml:space="preserve">  </t>
    </r>
    <r>
      <rPr>
        <sz val="12"/>
        <color theme="1"/>
        <rFont val="Times New Roman"/>
        <family val="1"/>
        <charset val="162"/>
      </rPr>
      <t xml:space="preserve">Ruhsatında kamyonet olarak geçen koltuklu hususi görünümlü hafif ticari grubu araçlarda değer kaybı hesaplamaları otomobil gurubu hesaplaması üzerinden yapılır ve ticari seçeneği dikkate alınır. </t>
    </r>
  </si>
  <si>
    <r>
      <t>3.9</t>
    </r>
    <r>
      <rPr>
        <b/>
        <sz val="7"/>
        <color rgb="FF000000"/>
        <rFont val="Times New Roman"/>
        <family val="1"/>
        <charset val="162"/>
      </rPr>
      <t xml:space="preserve">  </t>
    </r>
    <r>
      <rPr>
        <sz val="12"/>
        <color theme="1"/>
        <rFont val="Times New Roman"/>
        <family val="1"/>
        <charset val="162"/>
      </rPr>
      <t xml:space="preserve">Kaporta ve boya onarım katsayısı bölümlerinde boyasız paneller ve plastik karoseri parçaları hesaplamada baz değer kaybı tutarında değerlendirilecek olup ayrıca parça bazlı değerlendirme yapılmayacaktır. </t>
    </r>
  </si>
  <si>
    <r>
      <t>3.10</t>
    </r>
    <r>
      <rPr>
        <b/>
        <sz val="7"/>
        <color rgb="FF000000"/>
        <rFont val="Times New Roman"/>
        <family val="1"/>
        <charset val="162"/>
      </rPr>
      <t xml:space="preserve">            </t>
    </r>
    <r>
      <rPr>
        <sz val="12"/>
        <color theme="1"/>
        <rFont val="Times New Roman"/>
        <family val="1"/>
        <charset val="162"/>
      </rPr>
      <t>Boyasız onarım işlemi yapılan sac aksam onarımlarında sadece hasara konu tazminat tutarı esas alınır. Ayrıca kaporta ve boya katsayısı uygulanmaz.</t>
    </r>
  </si>
  <si>
    <r>
      <t>3.11</t>
    </r>
    <r>
      <rPr>
        <b/>
        <sz val="7"/>
        <color rgb="FF000000"/>
        <rFont val="Times New Roman"/>
        <family val="1"/>
        <charset val="162"/>
      </rPr>
      <t xml:space="preserve">          </t>
    </r>
    <r>
      <rPr>
        <sz val="12"/>
        <color theme="1"/>
        <rFont val="Times New Roman"/>
        <family val="1"/>
        <charset val="162"/>
      </rPr>
      <t xml:space="preserve">Antika ve Koleksiyon sayılan araçların değer kaybı hesaplaması referans modülle yapılmaz. </t>
    </r>
  </si>
  <si>
    <r>
      <t>3.12</t>
    </r>
    <r>
      <rPr>
        <b/>
        <sz val="7"/>
        <color rgb="FF000000"/>
        <rFont val="Times New Roman"/>
        <family val="1"/>
        <charset val="162"/>
      </rPr>
      <t xml:space="preserve">          </t>
    </r>
    <r>
      <rPr>
        <sz val="12"/>
        <color theme="1"/>
        <rFont val="Times New Roman"/>
        <family val="1"/>
        <charset val="162"/>
      </rPr>
      <t>Aksesuar parçalar değer kaybı hesaplamasında dikkate alınmaz.</t>
    </r>
  </si>
  <si>
    <r>
      <t>3.13</t>
    </r>
    <r>
      <rPr>
        <b/>
        <sz val="7"/>
        <color rgb="FF000000"/>
        <rFont val="Times New Roman"/>
        <family val="1"/>
        <charset val="162"/>
      </rPr>
      <t xml:space="preserve">          </t>
    </r>
    <r>
      <rPr>
        <sz val="12"/>
        <color theme="1"/>
        <rFont val="Times New Roman"/>
        <family val="1"/>
        <charset val="162"/>
      </rPr>
      <t xml:space="preserve">Değer kaybı tazminat hesaplamasında, değer kaybına konu aracın hasarlı parçaları kazadan önceki tarihte hasara uğramış veya onarım görmüş olmaları durumunda, ilgili parçalar için değer kaybı hesaplaması yapılmaz. (Madde </t>
    </r>
    <r>
      <rPr>
        <b/>
        <sz val="12"/>
        <color theme="1"/>
        <rFont val="Times New Roman"/>
        <family val="1"/>
        <charset val="162"/>
      </rPr>
      <t>3.15’te</t>
    </r>
    <r>
      <rPr>
        <sz val="12"/>
        <color theme="1"/>
        <rFont val="Times New Roman"/>
        <family val="1"/>
        <charset val="162"/>
      </rPr>
      <t xml:space="preserve"> belirtilen durumlar istisna tutulmuştur.)</t>
    </r>
  </si>
  <si>
    <r>
      <t>3.14</t>
    </r>
    <r>
      <rPr>
        <b/>
        <sz val="7"/>
        <color rgb="FF000000"/>
        <rFont val="Times New Roman"/>
        <family val="1"/>
        <charset val="162"/>
      </rPr>
      <t xml:space="preserve">          </t>
    </r>
    <r>
      <rPr>
        <sz val="12"/>
        <color theme="1"/>
        <rFont val="Times New Roman"/>
        <family val="1"/>
        <charset val="162"/>
      </rPr>
      <t xml:space="preserve">Geçmiş dönemdeki hasarlardan dolayı onarım görmüş; sökülebilir, takılabilir/civatalı parçaların mevcut hasarda yenisi ile değiştirilmesi halinde </t>
    </r>
    <r>
      <rPr>
        <b/>
        <sz val="12"/>
        <color theme="1"/>
        <rFont val="Times New Roman"/>
        <family val="1"/>
        <charset val="162"/>
      </rPr>
      <t>değer kaybı hesaplaması yapılmayacaktır</t>
    </r>
    <r>
      <rPr>
        <sz val="12"/>
        <color theme="1"/>
        <rFont val="Times New Roman"/>
        <family val="1"/>
        <charset val="162"/>
      </rPr>
      <t xml:space="preserve">. </t>
    </r>
  </si>
  <si>
    <r>
      <t>3.15</t>
    </r>
    <r>
      <rPr>
        <b/>
        <sz val="7"/>
        <color rgb="FF000000"/>
        <rFont val="Times New Roman"/>
        <family val="1"/>
        <charset val="162"/>
      </rPr>
      <t xml:space="preserve">          </t>
    </r>
    <r>
      <rPr>
        <sz val="12"/>
        <color theme="1"/>
        <rFont val="Times New Roman"/>
        <family val="1"/>
        <charset val="162"/>
      </rPr>
      <t xml:space="preserve">Geçmiş dönemdeki hasarlardan dolayı onarım görmüş; sabit, montajlı/kaynaklı parçalarda, ilgili parçaların sonradan yenisi ile değiştirilmesi halinde değer kaybı hesaplamasında kaporta değişim katsayısı dikkate alınacak, </t>
    </r>
    <r>
      <rPr>
        <b/>
        <sz val="12"/>
        <color theme="1"/>
        <rFont val="Times New Roman"/>
        <family val="1"/>
        <charset val="162"/>
      </rPr>
      <t xml:space="preserve">boya katsayısı ise dikkate alınmayacaktır. </t>
    </r>
  </si>
  <si>
    <r>
      <t>3.16</t>
    </r>
    <r>
      <rPr>
        <b/>
        <sz val="7"/>
        <color rgb="FF000000"/>
        <rFont val="Times New Roman"/>
        <family val="1"/>
        <charset val="162"/>
      </rPr>
      <t xml:space="preserve">          </t>
    </r>
    <r>
      <rPr>
        <sz val="12"/>
        <color theme="1"/>
        <rFont val="Times New Roman"/>
        <family val="1"/>
        <charset val="162"/>
      </rPr>
      <t>Kaza tarihinden önce ağır hasara uğramış araçlar ile incelenen kazasında tam ya da ağır hasara uğradığı tespit edilen araçlar için değer kaybı hesaplaması yapılmaz.</t>
    </r>
  </si>
  <si>
    <r>
      <t>3.17</t>
    </r>
    <r>
      <rPr>
        <b/>
        <sz val="7"/>
        <color rgb="FF000000"/>
        <rFont val="Times New Roman"/>
        <family val="1"/>
        <charset val="162"/>
      </rPr>
      <t xml:space="preserve">          </t>
    </r>
    <r>
      <rPr>
        <sz val="12"/>
        <color theme="1"/>
        <rFont val="Times New Roman"/>
        <family val="1"/>
        <charset val="162"/>
      </rPr>
      <t xml:space="preserve">İş Makinesi, Tarım Makinesi ve Traktör araç guruplarında kullanılmışlık düzeyi kat sayısı; </t>
    </r>
    <r>
      <rPr>
        <b/>
        <sz val="12"/>
        <color theme="1"/>
        <rFont val="Times New Roman"/>
        <family val="1"/>
        <charset val="162"/>
      </rPr>
      <t>çalışma saati</t>
    </r>
    <r>
      <rPr>
        <sz val="12"/>
        <color theme="1"/>
        <rFont val="Times New Roman"/>
        <family val="1"/>
        <charset val="162"/>
      </rPr>
      <t xml:space="preserve"> olarak değerlendirilmelidir.</t>
    </r>
  </si>
  <si>
    <r>
      <t>3.18</t>
    </r>
    <r>
      <rPr>
        <b/>
        <sz val="7"/>
        <color rgb="FF000000"/>
        <rFont val="Times New Roman"/>
        <family val="1"/>
        <charset val="162"/>
      </rPr>
      <t xml:space="preserve">          </t>
    </r>
    <r>
      <rPr>
        <sz val="12"/>
        <color theme="1"/>
        <rFont val="Times New Roman"/>
        <family val="1"/>
        <charset val="162"/>
      </rPr>
      <t>Özel amaçlı araçlar ile tanker gurubundaki araçlarda kasa üst yapısı değer kaybı hesaplamasında dikkate alınmaz. Kupa/gövde kısmı ise araç sınıfına göre değerlendirilir.</t>
    </r>
  </si>
  <si>
    <r>
      <t>3.19</t>
    </r>
    <r>
      <rPr>
        <b/>
        <sz val="7"/>
        <color rgb="FF000000"/>
        <rFont val="Times New Roman"/>
        <family val="1"/>
        <charset val="162"/>
      </rPr>
      <t xml:space="preserve">          </t>
    </r>
    <r>
      <rPr>
        <sz val="12"/>
        <color theme="1"/>
        <rFont val="Times New Roman"/>
        <family val="1"/>
        <charset val="162"/>
      </rPr>
      <t xml:space="preserve">Özel amaçlı araçlar ile tanker gurubundaki araçlarda değer kaybı hesaplamasında hasar tutarları belirlenirken </t>
    </r>
    <r>
      <rPr>
        <b/>
        <sz val="12"/>
        <color theme="1"/>
        <rFont val="Times New Roman"/>
        <family val="1"/>
        <charset val="162"/>
      </rPr>
      <t>kasa üst yapısı hasar tutarında dikkate alınmaz.</t>
    </r>
  </si>
  <si>
    <r>
      <t>3.20</t>
    </r>
    <r>
      <rPr>
        <b/>
        <sz val="7"/>
        <color rgb="FF000000"/>
        <rFont val="Times New Roman"/>
        <family val="1"/>
        <charset val="162"/>
      </rPr>
      <t xml:space="preserve">          </t>
    </r>
    <r>
      <rPr>
        <sz val="12"/>
        <color theme="1"/>
        <rFont val="Times New Roman"/>
        <family val="1"/>
        <charset val="162"/>
      </rPr>
      <t xml:space="preserve">Yabancı plakalı taşıtların değer kaybı tazminat hesabı, ilgili aracın kendi ülkesindeki rayiç değeri dikkate alınarak ülkemizdeki değer kaybı hesaplama kriterleri çerçevesinde yapılır. </t>
    </r>
  </si>
  <si>
    <r>
      <t>3.21</t>
    </r>
    <r>
      <rPr>
        <b/>
        <sz val="7"/>
        <color rgb="FF000000"/>
        <rFont val="Times New Roman"/>
        <family val="1"/>
        <charset val="162"/>
      </rPr>
      <t xml:space="preserve">          </t>
    </r>
    <r>
      <rPr>
        <sz val="12"/>
        <color theme="1"/>
        <rFont val="Times New Roman"/>
        <family val="1"/>
        <charset val="162"/>
      </rPr>
      <t xml:space="preserve">Hesaplanan değer kaybı tutarları, </t>
    </r>
    <r>
      <rPr>
        <b/>
        <sz val="12"/>
        <color theme="1"/>
        <rFont val="Times New Roman"/>
        <family val="1"/>
        <charset val="162"/>
      </rPr>
      <t>nötr yuvarlama ilkesi</t>
    </r>
    <r>
      <rPr>
        <sz val="12"/>
        <color theme="1"/>
        <rFont val="Times New Roman"/>
        <family val="1"/>
        <charset val="162"/>
      </rPr>
      <t xml:space="preserve"> çerçevesinde </t>
    </r>
    <r>
      <rPr>
        <b/>
        <sz val="12"/>
        <color theme="1"/>
        <rFont val="Times New Roman"/>
        <family val="1"/>
        <charset val="162"/>
      </rPr>
      <t>zararın piyasa gerçekliğini bozmayacak</t>
    </r>
    <r>
      <rPr>
        <sz val="12"/>
        <color theme="1"/>
        <rFont val="Times New Roman"/>
        <family val="1"/>
        <charset val="162"/>
      </rPr>
      <t xml:space="preserve"> şekilde yuvarlanarak uygulanır. Bu kapsamda, modül</t>
    </r>
    <r>
      <rPr>
        <sz val="12"/>
        <color rgb="FFEE0000"/>
        <rFont val="Times New Roman"/>
        <family val="1"/>
        <charset val="162"/>
      </rPr>
      <t xml:space="preserve"> </t>
    </r>
    <r>
      <rPr>
        <sz val="12"/>
        <color theme="1"/>
        <rFont val="Times New Roman"/>
        <family val="1"/>
        <charset val="162"/>
      </rPr>
      <t>tarafından otomatik olarak 500 TL ve katları şeklinde yuvarlama yapılacaktır. (Modül</t>
    </r>
    <r>
      <rPr>
        <sz val="12"/>
        <color rgb="FFEE0000"/>
        <rFont val="Times New Roman"/>
        <family val="1"/>
        <charset val="162"/>
      </rPr>
      <t xml:space="preserve"> </t>
    </r>
    <r>
      <rPr>
        <sz val="12"/>
        <color theme="1"/>
        <rFont val="Times New Roman"/>
        <family val="1"/>
        <charset val="162"/>
      </rPr>
      <t xml:space="preserve">tarafından hesaplan değer en fazla 499,00 TL’sına kadar yukarı yönlü yuvarlama yapılmak suretiyle 500 TL’ye, 501 ve 999 TL’ye kadar olan tutar da aynı şekilde yukarı yönlü tam sayıya yuvarlanarak gerçek piyasa koşulları ile uyumlandırılır.) </t>
    </r>
  </si>
  <si>
    <r>
      <t>3.22</t>
    </r>
    <r>
      <rPr>
        <b/>
        <sz val="7"/>
        <color rgb="FF000000"/>
        <rFont val="Times New Roman"/>
        <family val="1"/>
        <charset val="162"/>
      </rPr>
      <t xml:space="preserve">          </t>
    </r>
    <r>
      <rPr>
        <sz val="12"/>
        <color theme="1"/>
        <rFont val="Times New Roman"/>
        <family val="1"/>
        <charset val="162"/>
      </rPr>
      <t xml:space="preserve">Modül kullanılarak yapılan değer kaybı tazminat hesaplamasında piyasa gerçekliği ile örtüşmeyen özel bir durum varsa eksper tarafından derhal Sigorta Eksperleri İcra Komitesine (SEİK) bildirilir. </t>
    </r>
  </si>
  <si>
    <r>
      <t>3.23</t>
    </r>
    <r>
      <rPr>
        <b/>
        <sz val="7"/>
        <color rgb="FF000000"/>
        <rFont val="Times New Roman"/>
        <family val="1"/>
        <charset val="162"/>
      </rPr>
      <t xml:space="preserve">          </t>
    </r>
    <r>
      <rPr>
        <sz val="12"/>
        <color theme="1"/>
        <rFont val="Times New Roman"/>
        <family val="1"/>
        <charset val="162"/>
      </rPr>
      <t>Değer kaybı tazminat hesaplamasında aracın rayiç değeri belirlenirken, son 30 gün içerisinde yayınlanan; marka-model-kasa tipi-donanım-</t>
    </r>
    <r>
      <rPr>
        <sz val="11"/>
        <color theme="1"/>
        <rFont val="Calibri"/>
        <family val="2"/>
        <scheme val="minor"/>
      </rPr>
      <t xml:space="preserve"> </t>
    </r>
    <r>
      <rPr>
        <sz val="12"/>
        <color theme="1"/>
        <rFont val="Times New Roman"/>
        <family val="1"/>
        <charset val="162"/>
      </rPr>
      <t xml:space="preserve">±%10 kilometre toleransı ve benzer hasar uyumu olan en az </t>
    </r>
    <r>
      <rPr>
        <b/>
        <sz val="12"/>
        <color theme="1"/>
        <rFont val="Times New Roman"/>
        <family val="1"/>
        <charset val="162"/>
      </rPr>
      <t xml:space="preserve">3 emsal özellikli araç satış ilanının </t>
    </r>
    <r>
      <rPr>
        <sz val="12"/>
        <color theme="1"/>
        <rFont val="Times New Roman"/>
        <family val="1"/>
        <charset val="162"/>
      </rPr>
      <t xml:space="preserve">ekran görüntüleri (ilan numarası görünecek şekilde) rapora eklenir. Rayiç değer belirlenmesinde, aşırı düşük veya yüksek fiyatlı ilanlar değerlendirme dışı bırakılarak ortalama değerler (Piyasa koşullarına uyumlu pazarlık payı düşülmek suretiyle) esas alınır. </t>
    </r>
  </si>
  <si>
    <r>
      <t>3.24</t>
    </r>
    <r>
      <rPr>
        <b/>
        <sz val="7"/>
        <color rgb="FF000000"/>
        <rFont val="Times New Roman"/>
        <family val="1"/>
        <charset val="162"/>
      </rPr>
      <t xml:space="preserve">          </t>
    </r>
    <r>
      <rPr>
        <sz val="12"/>
        <color theme="1"/>
        <rFont val="Times New Roman"/>
        <family val="1"/>
        <charset val="162"/>
      </rPr>
      <t>Sigorta eksperi, değer kaybı tazminat hesaplamasına esas teşkil eden;</t>
    </r>
  </si>
  <si>
    <r>
      <t>·</t>
    </r>
    <r>
      <rPr>
        <sz val="7"/>
        <color theme="1"/>
        <rFont val="Times New Roman"/>
        <family val="1"/>
        <charset val="162"/>
      </rPr>
      <t xml:space="preserve">         </t>
    </r>
    <r>
      <rPr>
        <sz val="12"/>
        <color theme="1"/>
        <rFont val="Times New Roman"/>
        <family val="1"/>
        <charset val="162"/>
      </rPr>
      <t xml:space="preserve">Kullanılan emsal piyasa verilerini (ilan kayıtları, ekran görüntüleri, satıcı vb. veri kaynaklarını), </t>
    </r>
  </si>
  <si>
    <r>
      <t>·</t>
    </r>
    <r>
      <rPr>
        <sz val="7"/>
        <color theme="1"/>
        <rFont val="Times New Roman"/>
        <family val="1"/>
        <charset val="162"/>
      </rPr>
      <t xml:space="preserve">         </t>
    </r>
    <r>
      <rPr>
        <sz val="12"/>
        <color theme="1"/>
        <rFont val="Times New Roman"/>
        <family val="1"/>
        <charset val="162"/>
      </rPr>
      <t xml:space="preserve">Hesaplama tablolarını ve parametre setlerini, </t>
    </r>
  </si>
  <si>
    <r>
      <t>·</t>
    </r>
    <r>
      <rPr>
        <sz val="7"/>
        <color theme="1"/>
        <rFont val="Times New Roman"/>
        <family val="1"/>
        <charset val="162"/>
      </rPr>
      <t xml:space="preserve">         </t>
    </r>
    <r>
      <rPr>
        <sz val="12"/>
        <color theme="1"/>
        <rFont val="Times New Roman"/>
        <family val="1"/>
        <charset val="162"/>
      </rPr>
      <t xml:space="preserve">Hasar tespitine ilişkin teknik bulguları, fotoğrafları ve parça bazlı değerlendirmeleri, </t>
    </r>
  </si>
  <si>
    <r>
      <t>·</t>
    </r>
    <r>
      <rPr>
        <sz val="7"/>
        <color theme="1"/>
        <rFont val="Times New Roman"/>
        <family val="1"/>
        <charset val="162"/>
      </rPr>
      <t xml:space="preserve">         </t>
    </r>
    <r>
      <rPr>
        <sz val="12"/>
        <color theme="1"/>
        <rFont val="Times New Roman"/>
        <family val="1"/>
        <charset val="162"/>
      </rPr>
      <t>Araç üzerinde tespit edilen varsa diğer hasarlara ve geçmiş onarımlara ilişkin fotoğrafları,</t>
    </r>
  </si>
  <si>
    <r>
      <t>·</t>
    </r>
    <r>
      <rPr>
        <sz val="7"/>
        <color theme="1"/>
        <rFont val="Times New Roman"/>
        <family val="1"/>
        <charset val="162"/>
      </rPr>
      <t xml:space="preserve">         </t>
    </r>
    <r>
      <rPr>
        <sz val="12"/>
        <color theme="1"/>
        <rFont val="Times New Roman"/>
        <family val="1"/>
        <charset val="162"/>
      </rPr>
      <t>Değer kaybı tespitinde esas alınan tüm dokümanları ve her türlü hesaplama çıktısını,</t>
    </r>
  </si>
  <si>
    <t xml:space="preserve"> </t>
  </si>
  <si>
    <r>
      <t xml:space="preserve">Denetime açık şekilde; izlenebilir, eksiksiz ve doğrulanabilir formatta </t>
    </r>
    <r>
      <rPr>
        <b/>
        <sz val="12"/>
        <color theme="1"/>
        <rFont val="Times New Roman"/>
        <family val="1"/>
        <charset val="162"/>
      </rPr>
      <t xml:space="preserve">en az 5 yıl dijital ortamda </t>
    </r>
    <r>
      <rPr>
        <sz val="12"/>
        <color theme="1"/>
        <rFont val="Times New Roman"/>
        <family val="1"/>
        <charset val="162"/>
      </rPr>
      <t xml:space="preserve">muhafaza etmekle yükümlüdür.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</si>
</sst>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_-* #,##0.00\ _₺_-;\-* #,##0.00\ _₺_-;_-* &quot;-&quot;??\ _₺_-;_-@_-"/>
    <numFmt numFmtId="166" formatCode="dd/mm/yyyy;@"/>
  </numFmts>
  <fonts count="39"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b/>
      <sz val="11"/>
      <color theme="1"/>
      <name val="Calibri"/>
      <family val="2"/>
      <charset val="162"/>
      <scheme val="minor"/>
    </font>
    <font>
      <sz val="11"/>
      <name val="Calibri"/>
      <family val="2"/>
      <scheme val="minor"/>
    </font>
    <font>
      <b/>
      <sz val="11"/>
      <name val="Calibri"/>
      <family val="2"/>
      <charset val="162"/>
      <scheme val="minor"/>
    </font>
    <font>
      <b/>
      <sz val="12"/>
      <name val="Calibri"/>
      <family val="2"/>
      <charset val="162"/>
      <scheme val="minor"/>
    </font>
    <font>
      <sz val="11"/>
      <color rgb="FFFF0000"/>
      <name val="Calibri"/>
      <family val="2"/>
      <scheme val="minor"/>
    </font>
    <font>
      <b/>
      <sz val="11"/>
      <color rgb="FF00B050"/>
      <name val="Calibri"/>
      <family val="2"/>
      <charset val="162"/>
      <scheme val="minor"/>
    </font>
    <font>
      <b/>
      <sz val="11"/>
      <color theme="0"/>
      <name val="Calibri"/>
      <family val="2"/>
      <charset val="162"/>
      <scheme val="minor"/>
    </font>
    <font>
      <sz val="11"/>
      <color theme="0"/>
      <name val="Calibri"/>
      <family val="2"/>
      <scheme val="minor"/>
    </font>
    <font>
      <b/>
      <sz val="12"/>
      <color theme="1"/>
      <name val="Calibri"/>
      <family val="2"/>
      <charset val="162"/>
      <scheme val="minor"/>
    </font>
    <font>
      <b/>
      <sz val="14"/>
      <color theme="0"/>
      <name val="Calibri"/>
      <family val="2"/>
      <charset val="162"/>
      <scheme val="minor"/>
    </font>
    <font>
      <sz val="14"/>
      <color theme="0"/>
      <name val="Calibri"/>
      <family val="2"/>
      <scheme val="minor"/>
    </font>
    <font>
      <b/>
      <u/>
      <sz val="20"/>
      <color theme="0"/>
      <name val="Calibri"/>
      <family val="2"/>
      <charset val="162"/>
      <scheme val="minor"/>
    </font>
    <font>
      <sz val="11"/>
      <name val="Calibri"/>
      <family val="2"/>
      <charset val="162"/>
      <scheme val="minor"/>
    </font>
    <font>
      <sz val="11"/>
      <color rgb="FF000000"/>
      <name val="Calibri"/>
      <family val="2"/>
      <charset val="162"/>
      <scheme val="minor"/>
    </font>
    <font>
      <sz val="11"/>
      <color theme="1"/>
      <name val="Calibri"/>
      <family val="2"/>
      <scheme val="minor"/>
    </font>
    <font>
      <sz val="9"/>
      <name val="Calibri"/>
      <family val="2"/>
      <scheme val="minor"/>
    </font>
    <font>
      <b/>
      <sz val="16"/>
      <color theme="0"/>
      <name val="Calibri"/>
      <family val="2"/>
      <charset val="162"/>
      <scheme val="minor"/>
    </font>
    <font>
      <strike/>
      <sz val="11"/>
      <color theme="1"/>
      <name val="Calibri"/>
      <family val="2"/>
      <scheme val="minor"/>
    </font>
    <font>
      <sz val="8"/>
      <name val="Calibri"/>
      <family val="2"/>
      <scheme val="minor"/>
    </font>
    <font>
      <sz val="12"/>
      <color theme="1"/>
      <name val="Times New Roman"/>
      <family val="1"/>
      <charset val="162"/>
    </font>
    <font>
      <b/>
      <sz val="12"/>
      <color theme="1"/>
      <name val="Times New Roman"/>
      <family val="1"/>
      <charset val="162"/>
    </font>
    <font>
      <b/>
      <sz val="12"/>
      <color rgb="FFFF0000"/>
      <name val="Times New Roman"/>
      <family val="1"/>
      <charset val="162"/>
    </font>
    <font>
      <b/>
      <sz val="11"/>
      <color theme="1"/>
      <name val="Calibri"/>
      <family val="2"/>
      <scheme val="minor"/>
    </font>
    <font>
      <b/>
      <sz val="7"/>
      <color theme="1"/>
      <name val="Times New Roman"/>
      <family val="1"/>
      <charset val="162"/>
    </font>
    <font>
      <sz val="12"/>
      <color theme="1"/>
      <name val="Symbol"/>
      <family val="1"/>
      <charset val="2"/>
    </font>
    <font>
      <sz val="7"/>
      <color theme="1"/>
      <name val="Times New Roman"/>
      <family val="1"/>
      <charset val="162"/>
    </font>
    <font>
      <b/>
      <sz val="12"/>
      <color rgb="FF000000"/>
      <name val="Times New Roman"/>
      <family val="1"/>
      <charset val="162"/>
    </font>
    <font>
      <b/>
      <sz val="7"/>
      <color rgb="FF000000"/>
      <name val="Times New Roman"/>
      <family val="1"/>
      <charset val="162"/>
    </font>
    <font>
      <sz val="11"/>
      <color theme="1"/>
      <name val="Times New Roman"/>
      <family val="1"/>
      <charset val="162"/>
    </font>
    <font>
      <sz val="12"/>
      <color rgb="FF000000"/>
      <name val="Times New Roman"/>
      <family val="1"/>
      <charset val="162"/>
    </font>
    <font>
      <sz val="11"/>
      <color theme="1"/>
      <name val="Symbol"/>
      <family val="1"/>
      <charset val="2"/>
    </font>
    <font>
      <b/>
      <sz val="11"/>
      <color theme="1"/>
      <name val="Times New Roman"/>
      <family val="1"/>
      <charset val="162"/>
    </font>
    <font>
      <sz val="12"/>
      <color rgb="FFEE0000"/>
      <name val="Times New Roman"/>
      <family val="1"/>
      <charset val="162"/>
    </font>
    <font>
      <sz val="10"/>
      <color theme="1"/>
      <name val="Symbol"/>
      <family val="1"/>
      <charset val="2"/>
    </font>
  </fonts>
  <fills count="16">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rgb="FFFFFFFF"/>
        <bgColor indexed="64"/>
      </patternFill>
    </fill>
    <fill>
      <patternFill patternType="solid">
        <fgColor rgb="FF0070C0"/>
        <bgColor indexed="64"/>
      </patternFill>
    </fill>
    <fill>
      <patternFill patternType="solid">
        <fgColor theme="4"/>
        <bgColor indexed="64"/>
      </patternFill>
    </fill>
    <fill>
      <patternFill patternType="solid">
        <fgColor theme="4" tint="0.39997558519241921"/>
        <bgColor indexed="64"/>
      </patternFill>
    </fill>
    <fill>
      <patternFill patternType="solid">
        <fgColor rgb="FFFFCF00"/>
        <bgColor indexed="64"/>
      </patternFill>
    </fill>
    <fill>
      <patternFill patternType="solid">
        <fgColor rgb="FFDE0000"/>
        <bgColor indexed="64"/>
      </patternFill>
    </fill>
    <fill>
      <patternFill patternType="solid">
        <fgColor rgb="FF01368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medium">
        <color indexed="64"/>
      </left>
      <right/>
      <top/>
      <bottom/>
      <diagonal/>
    </border>
    <border>
      <left/>
      <right style="thin">
        <color indexed="64"/>
      </right>
      <top/>
      <bottom/>
      <diagonal/>
    </border>
    <border>
      <left style="medium">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s>
  <cellStyleXfs count="2">
    <xf numFmtId="0" fontId="0" fillId="0" borderId="0"/>
    <xf numFmtId="165" fontId="19" fillId="0" borderId="0" applyFont="0" applyFill="0" applyBorder="0" applyAlignment="0" applyProtection="0"/>
  </cellStyleXfs>
  <cellXfs count="191">
    <xf numFmtId="0" fontId="0" fillId="0" borderId="0" xfId="0"/>
    <xf numFmtId="3" fontId="6" fillId="0" borderId="0" xfId="0" applyNumberFormat="1" applyFont="1"/>
    <xf numFmtId="0" fontId="6" fillId="0" borderId="0" xfId="0" applyFont="1" applyProtection="1">
      <protection locked="0"/>
    </xf>
    <xf numFmtId="0" fontId="0" fillId="0" borderId="0" xfId="0" applyProtection="1">
      <protection locked="0"/>
    </xf>
    <xf numFmtId="0" fontId="7" fillId="0" borderId="0" xfId="0" applyFont="1"/>
    <xf numFmtId="0" fontId="9" fillId="0" borderId="0" xfId="0" applyFont="1"/>
    <xf numFmtId="0" fontId="10" fillId="0" borderId="0" xfId="0" applyFont="1" applyAlignment="1">
      <alignment horizontal="center" wrapText="1"/>
    </xf>
    <xf numFmtId="0" fontId="6" fillId="0" borderId="0" xfId="0" applyFont="1" applyAlignment="1">
      <alignment horizontal="right"/>
    </xf>
    <xf numFmtId="0" fontId="6" fillId="0" borderId="0" xfId="0" applyFont="1"/>
    <xf numFmtId="0" fontId="0" fillId="0" borderId="1" xfId="0" applyBorder="1"/>
    <xf numFmtId="0" fontId="7" fillId="3" borderId="0" xfId="0" applyFont="1" applyFill="1"/>
    <xf numFmtId="0" fontId="11" fillId="3" borderId="0" xfId="0" applyFont="1" applyFill="1"/>
    <xf numFmtId="0" fontId="8" fillId="3" borderId="0" xfId="0" applyFont="1" applyFill="1"/>
    <xf numFmtId="4" fontId="0" fillId="0" borderId="0" xfId="0" applyNumberFormat="1"/>
    <xf numFmtId="0" fontId="12" fillId="7" borderId="0" xfId="0" applyFont="1" applyFill="1"/>
    <xf numFmtId="2" fontId="0" fillId="0" borderId="1" xfId="0" applyNumberFormat="1" applyBorder="1"/>
    <xf numFmtId="0" fontId="6" fillId="0" borderId="1" xfId="0" applyFont="1" applyBorder="1" applyAlignment="1" applyProtection="1">
      <alignment horizontal="center" vertical="center"/>
      <protection locked="0"/>
    </xf>
    <xf numFmtId="2" fontId="0" fillId="0" borderId="1" xfId="0" applyNumberFormat="1" applyBorder="1" applyAlignment="1">
      <alignment horizontal="center" vertical="center"/>
    </xf>
    <xf numFmtId="0" fontId="3" fillId="0" borderId="0" xfId="0" applyFont="1" applyAlignment="1">
      <alignment vertical="center"/>
    </xf>
    <xf numFmtId="0" fontId="12" fillId="7" borderId="1" xfId="0" applyFont="1" applyFill="1" applyBorder="1"/>
    <xf numFmtId="0" fontId="0" fillId="0" borderId="1" xfId="0" applyBorder="1" applyAlignment="1">
      <alignment horizontal="center" vertical="center"/>
    </xf>
    <xf numFmtId="0" fontId="6" fillId="0" borderId="1" xfId="0" applyFont="1" applyBorder="1" applyAlignment="1">
      <alignment vertical="center" wrapText="1"/>
    </xf>
    <xf numFmtId="0" fontId="3" fillId="0" borderId="0" xfId="0" applyFont="1"/>
    <xf numFmtId="0" fontId="0" fillId="0" borderId="1" xfId="0" applyBorder="1" applyProtection="1">
      <protection locked="0"/>
    </xf>
    <xf numFmtId="2" fontId="0" fillId="0" borderId="1" xfId="0" applyNumberFormat="1" applyBorder="1" applyAlignment="1">
      <alignment horizontal="center" vertical="center" wrapText="1"/>
    </xf>
    <xf numFmtId="2" fontId="0" fillId="0" borderId="1" xfId="0" applyNumberFormat="1" applyBorder="1" applyAlignment="1">
      <alignment horizontal="center"/>
    </xf>
    <xf numFmtId="2" fontId="0" fillId="0" borderId="1" xfId="0" applyNumberFormat="1" applyBorder="1" applyAlignment="1" applyProtection="1">
      <alignment horizontal="right"/>
      <protection locked="0"/>
    </xf>
    <xf numFmtId="0" fontId="17" fillId="0" borderId="0" xfId="0" applyFont="1"/>
    <xf numFmtId="0" fontId="11" fillId="0" borderId="0" xfId="0" applyFont="1"/>
    <xf numFmtId="3" fontId="8" fillId="0" borderId="0" xfId="0" applyNumberFormat="1" applyFont="1" applyProtection="1">
      <protection locked="0"/>
    </xf>
    <xf numFmtId="2" fontId="8" fillId="0" borderId="0" xfId="0" applyNumberFormat="1" applyFont="1"/>
    <xf numFmtId="0" fontId="11" fillId="0" borderId="0" xfId="0" applyFont="1" applyProtection="1">
      <protection locked="0"/>
    </xf>
    <xf numFmtId="1" fontId="8" fillId="0" borderId="0" xfId="0" applyNumberFormat="1" applyFont="1" applyAlignment="1" applyProtection="1">
      <alignment horizontal="right"/>
      <protection locked="0"/>
    </xf>
    <xf numFmtId="2" fontId="8" fillId="0" borderId="0" xfId="0" applyNumberFormat="1" applyFont="1" applyProtection="1">
      <protection locked="0"/>
    </xf>
    <xf numFmtId="0" fontId="11" fillId="0" borderId="0" xfId="0" applyFont="1" applyAlignment="1" applyProtection="1">
      <alignment horizontal="left"/>
      <protection locked="0"/>
    </xf>
    <xf numFmtId="4" fontId="0" fillId="0" borderId="0" xfId="0" applyNumberFormat="1" applyProtection="1">
      <protection locked="0"/>
    </xf>
    <xf numFmtId="0" fontId="17" fillId="0" borderId="0" xfId="0" applyFont="1" applyProtection="1">
      <protection locked="0"/>
    </xf>
    <xf numFmtId="0" fontId="0" fillId="9" borderId="1" xfId="0" applyFill="1" applyBorder="1" applyAlignment="1">
      <alignment horizontal="center" vertical="center"/>
    </xf>
    <xf numFmtId="0" fontId="6" fillId="9" borderId="1" xfId="0" applyFont="1" applyFill="1" applyBorder="1" applyAlignment="1">
      <alignment vertical="center" wrapText="1"/>
    </xf>
    <xf numFmtId="2" fontId="0" fillId="9" borderId="1" xfId="0" applyNumberFormat="1" applyFill="1" applyBorder="1" applyAlignment="1">
      <alignment horizontal="center" vertical="center" wrapText="1"/>
    </xf>
    <xf numFmtId="0" fontId="6" fillId="9" borderId="1" xfId="0" applyFont="1" applyFill="1" applyBorder="1" applyAlignment="1" applyProtection="1">
      <alignment horizontal="center" vertical="center"/>
      <protection locked="0"/>
    </xf>
    <xf numFmtId="0" fontId="0" fillId="9" borderId="1" xfId="0" applyFill="1" applyBorder="1"/>
    <xf numFmtId="2" fontId="0" fillId="9" borderId="1" xfId="0" applyNumberFormat="1" applyFill="1" applyBorder="1" applyAlignment="1" applyProtection="1">
      <alignment horizontal="right"/>
      <protection locked="0"/>
    </xf>
    <xf numFmtId="2" fontId="0" fillId="9" borderId="1" xfId="0" applyNumberFormat="1" applyFill="1" applyBorder="1" applyAlignment="1">
      <alignment horizontal="center"/>
    </xf>
    <xf numFmtId="0" fontId="0" fillId="9" borderId="1" xfId="0" applyFill="1" applyBorder="1" applyProtection="1">
      <protection locked="0"/>
    </xf>
    <xf numFmtId="2" fontId="0" fillId="9" borderId="1" xfId="0" applyNumberFormat="1" applyFill="1" applyBorder="1" applyAlignment="1">
      <alignment horizontal="center" vertical="center"/>
    </xf>
    <xf numFmtId="0" fontId="6" fillId="9" borderId="1" xfId="0" applyFont="1" applyFill="1" applyBorder="1" applyAlignment="1" applyProtection="1">
      <alignment horizontal="right" vertical="center"/>
      <protection locked="0"/>
    </xf>
    <xf numFmtId="0" fontId="5" fillId="9" borderId="1" xfId="0" applyFont="1" applyFill="1" applyBorder="1" applyAlignment="1">
      <alignment horizontal="center"/>
    </xf>
    <xf numFmtId="2" fontId="0" fillId="9" borderId="1" xfId="0" applyNumberFormat="1" applyFill="1" applyBorder="1"/>
    <xf numFmtId="0" fontId="0" fillId="0" borderId="4" xfId="0" applyBorder="1"/>
    <xf numFmtId="3" fontId="8" fillId="10" borderId="0" xfId="0" applyNumberFormat="1" applyFont="1" applyFill="1" applyAlignment="1">
      <alignment horizontal="right"/>
    </xf>
    <xf numFmtId="3" fontId="8" fillId="10" borderId="0" xfId="0" applyNumberFormat="1" applyFont="1" applyFill="1" applyProtection="1">
      <protection locked="0"/>
    </xf>
    <xf numFmtId="2" fontId="13" fillId="10" borderId="0" xfId="0" applyNumberFormat="1" applyFont="1" applyFill="1" applyAlignment="1">
      <alignment vertical="center"/>
    </xf>
    <xf numFmtId="1" fontId="8" fillId="10" borderId="0" xfId="0" applyNumberFormat="1" applyFont="1" applyFill="1" applyAlignment="1" applyProtection="1">
      <alignment horizontal="right"/>
      <protection locked="0"/>
    </xf>
    <xf numFmtId="166" fontId="8" fillId="10" borderId="0" xfId="0" applyNumberFormat="1" applyFont="1" applyFill="1" applyAlignment="1" applyProtection="1">
      <alignment horizontal="right"/>
      <protection locked="0"/>
    </xf>
    <xf numFmtId="4" fontId="8" fillId="10" borderId="0" xfId="0" applyNumberFormat="1" applyFont="1" applyFill="1" applyProtection="1">
      <protection locked="0"/>
    </xf>
    <xf numFmtId="0" fontId="8" fillId="10" borderId="0" xfId="0" applyFont="1" applyFill="1" applyAlignment="1" applyProtection="1">
      <alignment horizontal="right"/>
      <protection locked="0"/>
    </xf>
    <xf numFmtId="1" fontId="8" fillId="10" borderId="0" xfId="0" applyNumberFormat="1" applyFont="1" applyFill="1" applyProtection="1">
      <protection locked="0"/>
    </xf>
    <xf numFmtId="2" fontId="8" fillId="10" borderId="0" xfId="0" applyNumberFormat="1" applyFont="1" applyFill="1"/>
    <xf numFmtId="4" fontId="8" fillId="10" borderId="0" xfId="0" applyNumberFormat="1" applyFont="1" applyFill="1"/>
    <xf numFmtId="2" fontId="13" fillId="10" borderId="0" xfId="0" applyNumberFormat="1" applyFont="1" applyFill="1"/>
    <xf numFmtId="0" fontId="11" fillId="11" borderId="0" xfId="0" applyFont="1" applyFill="1" applyAlignment="1" applyProtection="1">
      <alignment horizontal="center"/>
      <protection locked="0"/>
    </xf>
    <xf numFmtId="0" fontId="11" fillId="11" borderId="0" xfId="0" applyFont="1" applyFill="1" applyAlignment="1">
      <alignment horizontal="center"/>
    </xf>
    <xf numFmtId="0" fontId="11" fillId="12" borderId="0" xfId="0" applyFont="1" applyFill="1" applyProtection="1">
      <protection locked="0"/>
    </xf>
    <xf numFmtId="0" fontId="11" fillId="12" borderId="0" xfId="0" applyFont="1" applyFill="1"/>
    <xf numFmtId="2" fontId="0" fillId="0" borderId="0" xfId="0" applyNumberFormat="1"/>
    <xf numFmtId="0" fontId="9" fillId="0" borderId="1" xfId="0" applyFont="1" applyBorder="1"/>
    <xf numFmtId="0" fontId="22" fillId="0" borderId="1" xfId="0" applyFont="1" applyBorder="1"/>
    <xf numFmtId="0" fontId="12" fillId="5" borderId="0" xfId="0" applyFont="1" applyFill="1" applyProtection="1">
      <protection locked="0"/>
    </xf>
    <xf numFmtId="0" fontId="0" fillId="5" borderId="0" xfId="0" applyFill="1" applyProtection="1">
      <protection locked="0"/>
    </xf>
    <xf numFmtId="4" fontId="0" fillId="5" borderId="0" xfId="0" applyNumberFormat="1" applyFill="1" applyProtection="1">
      <protection locked="0"/>
    </xf>
    <xf numFmtId="4" fontId="15" fillId="2" borderId="0" xfId="0" applyNumberFormat="1" applyFont="1" applyFill="1" applyAlignment="1" applyProtection="1">
      <alignment horizontal="center"/>
      <protection locked="0"/>
    </xf>
    <xf numFmtId="0" fontId="11" fillId="4" borderId="0" xfId="0" applyFont="1" applyFill="1" applyProtection="1">
      <protection locked="0"/>
    </xf>
    <xf numFmtId="0" fontId="12" fillId="4" borderId="0" xfId="0" applyFont="1" applyFill="1" applyProtection="1">
      <protection locked="0"/>
    </xf>
    <xf numFmtId="4" fontId="12" fillId="4" borderId="0" xfId="0" applyNumberFormat="1" applyFont="1" applyFill="1" applyProtection="1">
      <protection locked="0"/>
    </xf>
    <xf numFmtId="0" fontId="12" fillId="2" borderId="0" xfId="0" applyFont="1" applyFill="1" applyProtection="1">
      <protection locked="0"/>
    </xf>
    <xf numFmtId="4" fontId="0" fillId="2" borderId="0" xfId="0" applyNumberFormat="1" applyFill="1" applyProtection="1">
      <protection locked="0"/>
    </xf>
    <xf numFmtId="4" fontId="14" fillId="2" borderId="0" xfId="0" applyNumberFormat="1" applyFont="1" applyFill="1" applyAlignment="1" applyProtection="1">
      <alignment horizontal="center"/>
      <protection locked="0"/>
    </xf>
    <xf numFmtId="49" fontId="0" fillId="0" borderId="0" xfId="0" applyNumberFormat="1" applyProtection="1">
      <protection locked="0"/>
    </xf>
    <xf numFmtId="1" fontId="0" fillId="0" borderId="0" xfId="0" applyNumberFormat="1" applyProtection="1">
      <protection locked="0"/>
    </xf>
    <xf numFmtId="0" fontId="11" fillId="2" borderId="1" xfId="0" applyFont="1" applyFill="1" applyBorder="1" applyProtection="1">
      <protection locked="0"/>
    </xf>
    <xf numFmtId="4" fontId="0" fillId="0" borderId="1" xfId="0" applyNumberFormat="1" applyBorder="1" applyProtection="1">
      <protection locked="0"/>
    </xf>
    <xf numFmtId="0" fontId="11" fillId="4" borderId="1" xfId="0" applyFont="1" applyFill="1" applyBorder="1" applyProtection="1">
      <protection locked="0"/>
    </xf>
    <xf numFmtId="0" fontId="12" fillId="7" borderId="0" xfId="0" applyFont="1" applyFill="1" applyProtection="1">
      <protection locked="0"/>
    </xf>
    <xf numFmtId="0" fontId="11" fillId="4" borderId="6" xfId="0" applyFont="1" applyFill="1" applyBorder="1" applyProtection="1">
      <protection locked="0"/>
    </xf>
    <xf numFmtId="4" fontId="12" fillId="4" borderId="1" xfId="0" applyNumberFormat="1" applyFont="1" applyFill="1" applyBorder="1" applyAlignment="1" applyProtection="1">
      <alignment horizontal="center"/>
      <protection locked="0"/>
    </xf>
    <xf numFmtId="0" fontId="4" fillId="6" borderId="2" xfId="0" applyFont="1" applyFill="1" applyBorder="1" applyAlignment="1" applyProtection="1">
      <alignment vertical="center" wrapText="1"/>
      <protection locked="0"/>
    </xf>
    <xf numFmtId="0" fontId="17" fillId="6" borderId="3" xfId="0" applyFont="1" applyFill="1" applyBorder="1" applyAlignment="1" applyProtection="1">
      <alignment horizontal="center" vertical="center" wrapText="1"/>
      <protection locked="0"/>
    </xf>
    <xf numFmtId="0" fontId="0" fillId="0" borderId="0" xfId="0" applyAlignment="1" applyProtection="1">
      <alignment horizontal="right"/>
      <protection locked="0"/>
    </xf>
    <xf numFmtId="0" fontId="4" fillId="6" borderId="1" xfId="0" applyFont="1" applyFill="1" applyBorder="1" applyAlignment="1" applyProtection="1">
      <alignment vertical="center" wrapText="1"/>
      <protection locked="0"/>
    </xf>
    <xf numFmtId="164" fontId="6" fillId="0" borderId="1" xfId="0" applyNumberFormat="1" applyFont="1" applyBorder="1" applyAlignment="1" applyProtection="1">
      <alignment horizontal="center"/>
      <protection locked="0"/>
    </xf>
    <xf numFmtId="0" fontId="6" fillId="0" borderId="1" xfId="0" applyFont="1" applyBorder="1" applyAlignment="1" applyProtection="1">
      <alignment horizontal="center" vertical="center" wrapText="1"/>
      <protection locked="0"/>
    </xf>
    <xf numFmtId="0" fontId="6" fillId="0" borderId="6" xfId="0" applyFont="1" applyBorder="1" applyAlignment="1" applyProtection="1">
      <alignment horizontal="center" vertical="center" wrapText="1"/>
      <protection locked="0"/>
    </xf>
    <xf numFmtId="4" fontId="0" fillId="0" borderId="1" xfId="0" applyNumberFormat="1" applyBorder="1" applyAlignment="1" applyProtection="1">
      <alignment horizontal="center"/>
      <protection locked="0"/>
    </xf>
    <xf numFmtId="164" fontId="6" fillId="0" borderId="1" xfId="0" applyNumberFormat="1" applyFont="1" applyBorder="1" applyAlignment="1" applyProtection="1">
      <alignment horizontal="center" vertical="center" wrapText="1"/>
      <protection locked="0"/>
    </xf>
    <xf numFmtId="0" fontId="4" fillId="0" borderId="2" xfId="0" applyFont="1" applyBorder="1" applyAlignment="1" applyProtection="1">
      <alignment vertical="center" wrapText="1"/>
      <protection locked="0"/>
    </xf>
    <xf numFmtId="0" fontId="17" fillId="0" borderId="3" xfId="0" applyFont="1" applyBorder="1" applyAlignment="1" applyProtection="1">
      <alignment horizontal="center" vertical="center" wrapText="1"/>
      <protection locked="0"/>
    </xf>
    <xf numFmtId="0" fontId="4" fillId="0" borderId="1" xfId="0" applyFont="1" applyBorder="1" applyAlignment="1" applyProtection="1">
      <alignment vertical="center" wrapText="1"/>
      <protection locked="0"/>
    </xf>
    <xf numFmtId="0" fontId="17" fillId="0" borderId="3" xfId="0" applyFont="1" applyBorder="1" applyAlignment="1" applyProtection="1">
      <alignment horizontal="center" vertical="center"/>
      <protection locked="0"/>
    </xf>
    <xf numFmtId="4" fontId="6" fillId="0" borderId="1" xfId="0" applyNumberFormat="1" applyFont="1" applyBorder="1" applyProtection="1">
      <protection locked="0"/>
    </xf>
    <xf numFmtId="4" fontId="6" fillId="0" borderId="6" xfId="0" applyNumberFormat="1" applyFont="1" applyBorder="1" applyProtection="1">
      <protection locked="0"/>
    </xf>
    <xf numFmtId="0" fontId="2" fillId="0" borderId="4" xfId="0" applyFont="1" applyBorder="1" applyAlignment="1" applyProtection="1">
      <alignment vertical="center" wrapText="1"/>
      <protection locked="0"/>
    </xf>
    <xf numFmtId="0" fontId="17" fillId="0" borderId="5" xfId="0" applyFont="1" applyBorder="1" applyAlignment="1" applyProtection="1">
      <alignment horizontal="center" vertical="center" wrapText="1"/>
      <protection locked="0"/>
    </xf>
    <xf numFmtId="0" fontId="4" fillId="0" borderId="4" xfId="0" applyFont="1" applyBorder="1" applyAlignment="1" applyProtection="1">
      <alignment vertical="center" wrapText="1"/>
      <protection locked="0"/>
    </xf>
    <xf numFmtId="0" fontId="11" fillId="4" borderId="7" xfId="0" applyFont="1" applyFill="1" applyBorder="1" applyProtection="1">
      <protection locked="0"/>
    </xf>
    <xf numFmtId="0" fontId="11" fillId="4" borderId="8" xfId="0" applyFont="1" applyFill="1" applyBorder="1" applyProtection="1">
      <protection locked="0"/>
    </xf>
    <xf numFmtId="4" fontId="12" fillId="4" borderId="7" xfId="0" applyNumberFormat="1" applyFont="1" applyFill="1" applyBorder="1" applyAlignment="1" applyProtection="1">
      <alignment horizontal="center"/>
      <protection locked="0"/>
    </xf>
    <xf numFmtId="0" fontId="18" fillId="0" borderId="1" xfId="0" applyFont="1" applyBorder="1" applyAlignment="1" applyProtection="1">
      <alignment vertical="center" wrapText="1"/>
      <protection locked="0"/>
    </xf>
    <xf numFmtId="2" fontId="0" fillId="0" borderId="1" xfId="0" applyNumberFormat="1" applyBorder="1" applyAlignment="1" applyProtection="1">
      <alignment horizontal="center" vertical="center"/>
      <protection locked="0"/>
    </xf>
    <xf numFmtId="4" fontId="0" fillId="0" borderId="1" xfId="0" applyNumberFormat="1" applyBorder="1" applyAlignment="1" applyProtection="1">
      <alignment horizontal="center" vertical="center"/>
      <protection locked="0"/>
    </xf>
    <xf numFmtId="0" fontId="18" fillId="0" borderId="0" xfId="0" applyFont="1" applyAlignment="1" applyProtection="1">
      <alignment vertical="center" wrapText="1"/>
      <protection locked="0"/>
    </xf>
    <xf numFmtId="2" fontId="0" fillId="0" borderId="0" xfId="0" applyNumberFormat="1" applyAlignment="1" applyProtection="1">
      <alignment horizontal="center" vertical="center"/>
      <protection locked="0"/>
    </xf>
    <xf numFmtId="4" fontId="0" fillId="0" borderId="0" xfId="0" applyNumberFormat="1" applyAlignment="1" applyProtection="1">
      <alignment horizontal="center" vertical="center"/>
      <protection locked="0"/>
    </xf>
    <xf numFmtId="0" fontId="12" fillId="7" borderId="1" xfId="0" applyFont="1" applyFill="1" applyBorder="1" applyProtection="1">
      <protection locked="0"/>
    </xf>
    <xf numFmtId="0" fontId="0" fillId="0" borderId="1" xfId="0" applyBorder="1" applyAlignment="1" applyProtection="1">
      <alignment vertical="center" wrapText="1"/>
      <protection locked="0"/>
    </xf>
    <xf numFmtId="0" fontId="0" fillId="0" borderId="1" xfId="0" applyBorder="1" applyAlignment="1" applyProtection="1">
      <alignment horizontal="center" vertical="center" wrapText="1"/>
      <protection locked="0"/>
    </xf>
    <xf numFmtId="4" fontId="9" fillId="0" borderId="0" xfId="0" applyNumberFormat="1" applyFont="1" applyProtection="1">
      <protection locked="0"/>
    </xf>
    <xf numFmtId="2" fontId="0" fillId="0" borderId="6" xfId="0" applyNumberFormat="1" applyBorder="1" applyAlignment="1" applyProtection="1">
      <alignment horizontal="center" vertical="center"/>
      <protection locked="0"/>
    </xf>
    <xf numFmtId="2" fontId="0" fillId="0" borderId="9" xfId="0" applyNumberFormat="1" applyBorder="1" applyAlignment="1" applyProtection="1">
      <alignment horizontal="center" vertical="center"/>
      <protection locked="0"/>
    </xf>
    <xf numFmtId="0" fontId="18" fillId="0" borderId="2" xfId="0" applyFont="1" applyBorder="1" applyAlignment="1" applyProtection="1">
      <alignment vertical="center" wrapText="1"/>
      <protection locked="0"/>
    </xf>
    <xf numFmtId="0" fontId="0" fillId="0" borderId="3" xfId="0" applyBorder="1" applyAlignment="1" applyProtection="1">
      <alignment horizontal="center" vertical="center" wrapText="1"/>
      <protection locked="0"/>
    </xf>
    <xf numFmtId="0" fontId="0" fillId="0" borderId="0" xfId="0" applyAlignment="1" applyProtection="1">
      <alignment horizontal="center" vertical="center" wrapText="1"/>
      <protection locked="0"/>
    </xf>
    <xf numFmtId="0" fontId="18" fillId="0" borderId="1" xfId="0" applyFont="1" applyBorder="1" applyAlignment="1" applyProtection="1">
      <alignment horizontal="center" vertical="center" wrapText="1"/>
      <protection locked="0"/>
    </xf>
    <xf numFmtId="0" fontId="18" fillId="0" borderId="1" xfId="0" applyFont="1" applyBorder="1" applyAlignment="1" applyProtection="1">
      <alignment horizontal="left" vertical="center" wrapText="1"/>
      <protection locked="0"/>
    </xf>
    <xf numFmtId="0" fontId="5" fillId="8" borderId="0" xfId="0" applyFont="1" applyFill="1" applyProtection="1">
      <protection locked="0"/>
    </xf>
    <xf numFmtId="2" fontId="8" fillId="3" borderId="0" xfId="0" applyNumberFormat="1" applyFont="1" applyFill="1" applyProtection="1">
      <protection locked="0"/>
    </xf>
    <xf numFmtId="0" fontId="0" fillId="14" borderId="0" xfId="0" applyFill="1" applyProtection="1">
      <protection locked="0"/>
    </xf>
    <xf numFmtId="0" fontId="0" fillId="15" borderId="0" xfId="0" applyFill="1" applyProtection="1">
      <protection locked="0"/>
    </xf>
    <xf numFmtId="0" fontId="0" fillId="0" borderId="0" xfId="0" applyProtection="1"/>
    <xf numFmtId="0" fontId="6" fillId="13" borderId="0" xfId="0" applyFont="1" applyFill="1" applyProtection="1"/>
    <xf numFmtId="0" fontId="0" fillId="14" borderId="0" xfId="0" applyFill="1" applyProtection="1"/>
    <xf numFmtId="0" fontId="0" fillId="15" borderId="0" xfId="0" applyFill="1" applyProtection="1"/>
    <xf numFmtId="0" fontId="0" fillId="13" borderId="0" xfId="0" applyFill="1" applyProtection="1"/>
    <xf numFmtId="0" fontId="0" fillId="0" borderId="0" xfId="0"/>
    <xf numFmtId="0" fontId="0" fillId="0" borderId="0" xfId="0"/>
    <xf numFmtId="0" fontId="0" fillId="0" borderId="0" xfId="0"/>
    <xf numFmtId="0" fontId="21" fillId="12" borderId="15" xfId="0" applyFont="1" applyFill="1" applyBorder="1" applyAlignment="1" applyProtection="1">
      <alignment horizontal="center"/>
      <protection locked="0"/>
    </xf>
    <xf numFmtId="0" fontId="21" fillId="12" borderId="16" xfId="0" applyFont="1" applyFill="1" applyBorder="1" applyAlignment="1" applyProtection="1">
      <alignment horizontal="center"/>
      <protection locked="0"/>
    </xf>
    <xf numFmtId="0" fontId="20" fillId="0" borderId="0" xfId="0" applyFont="1" applyAlignment="1">
      <alignment horizontal="center"/>
    </xf>
    <xf numFmtId="0" fontId="0" fillId="0" borderId="0" xfId="0"/>
    <xf numFmtId="0" fontId="11" fillId="12" borderId="0" xfId="0" applyFont="1" applyFill="1"/>
    <xf numFmtId="3" fontId="16" fillId="12" borderId="0" xfId="0" applyNumberFormat="1" applyFont="1" applyFill="1" applyAlignment="1">
      <alignment horizontal="center" vertical="top"/>
    </xf>
    <xf numFmtId="0" fontId="11" fillId="12" borderId="0" xfId="0" applyFont="1" applyFill="1" applyAlignment="1">
      <alignment horizontal="left"/>
    </xf>
    <xf numFmtId="0" fontId="18" fillId="0" borderId="6" xfId="0" applyFont="1" applyBorder="1" applyAlignment="1" applyProtection="1">
      <alignment vertical="center" wrapText="1"/>
      <protection locked="0"/>
    </xf>
    <xf numFmtId="0" fontId="18" fillId="0" borderId="9" xfId="0" applyFont="1" applyBorder="1" applyAlignment="1" applyProtection="1">
      <alignment vertical="center" wrapText="1"/>
      <protection locked="0"/>
    </xf>
    <xf numFmtId="0" fontId="18" fillId="0" borderId="6"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0" fontId="11" fillId="2" borderId="1" xfId="0" applyFont="1" applyFill="1" applyBorder="1" applyProtection="1">
      <protection locked="0"/>
    </xf>
    <xf numFmtId="0" fontId="11" fillId="4" borderId="1" xfId="0" applyFont="1" applyFill="1" applyBorder="1" applyProtection="1">
      <protection locked="0"/>
    </xf>
    <xf numFmtId="0" fontId="18" fillId="0" borderId="1" xfId="0" applyFont="1" applyBorder="1" applyAlignment="1" applyProtection="1">
      <alignment vertical="center" wrapText="1"/>
      <protection locked="0"/>
    </xf>
    <xf numFmtId="0" fontId="0" fillId="0" borderId="6" xfId="0"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18" fillId="0" borderId="10" xfId="0" applyFont="1" applyBorder="1" applyAlignment="1" applyProtection="1">
      <alignment vertical="center" wrapText="1"/>
      <protection locked="0"/>
    </xf>
    <xf numFmtId="0" fontId="18" fillId="0" borderId="11" xfId="0" applyFont="1" applyBorder="1" applyAlignment="1" applyProtection="1">
      <alignment vertical="center" wrapText="1"/>
      <protection locked="0"/>
    </xf>
    <xf numFmtId="0" fontId="18" fillId="0" borderId="12" xfId="0" applyFont="1" applyBorder="1" applyAlignment="1" applyProtection="1">
      <alignment vertical="center" wrapText="1"/>
      <protection locked="0"/>
    </xf>
    <xf numFmtId="0" fontId="18" fillId="0" borderId="13" xfId="0" applyFont="1" applyBorder="1" applyAlignment="1" applyProtection="1">
      <alignment vertical="center" wrapText="1"/>
      <protection locked="0"/>
    </xf>
    <xf numFmtId="0" fontId="18" fillId="0" borderId="1" xfId="0" applyFont="1" applyBorder="1" applyAlignment="1" applyProtection="1">
      <alignment horizontal="left" vertical="center"/>
      <protection locked="0"/>
    </xf>
    <xf numFmtId="0" fontId="18" fillId="0" borderId="6" xfId="0" applyFont="1" applyBorder="1" applyAlignment="1" applyProtection="1">
      <alignment horizontal="left" vertical="center"/>
      <protection locked="0"/>
    </xf>
    <xf numFmtId="0" fontId="18" fillId="0" borderId="9" xfId="0" applyFont="1" applyBorder="1" applyAlignment="1" applyProtection="1">
      <alignment horizontal="left" vertical="center"/>
      <protection locked="0"/>
    </xf>
    <xf numFmtId="0" fontId="6" fillId="0" borderId="6" xfId="0" applyFont="1" applyBorder="1" applyAlignment="1" applyProtection="1">
      <alignment vertical="center" wrapText="1"/>
      <protection locked="0"/>
    </xf>
    <xf numFmtId="0" fontId="6" fillId="0" borderId="9" xfId="0" applyFont="1" applyBorder="1" applyAlignment="1" applyProtection="1">
      <alignment vertical="center" wrapText="1"/>
      <protection locked="0"/>
    </xf>
    <xf numFmtId="0" fontId="11" fillId="4" borderId="7" xfId="0" applyFont="1" applyFill="1" applyBorder="1" applyProtection="1">
      <protection locked="0"/>
    </xf>
    <xf numFmtId="0" fontId="4" fillId="0" borderId="1" xfId="0" applyFont="1" applyBorder="1" applyAlignment="1" applyProtection="1">
      <alignment vertical="center" wrapText="1"/>
      <protection locked="0"/>
    </xf>
    <xf numFmtId="0" fontId="4" fillId="6" borderId="1" xfId="0" applyFont="1" applyFill="1" applyBorder="1" applyAlignment="1" applyProtection="1">
      <alignment vertical="center" wrapText="1"/>
      <protection locked="0"/>
    </xf>
    <xf numFmtId="0" fontId="12" fillId="2" borderId="0" xfId="0" applyFont="1" applyFill="1" applyAlignment="1" applyProtection="1">
      <alignment horizontal="center"/>
      <protection locked="0"/>
    </xf>
    <xf numFmtId="0" fontId="18" fillId="0" borderId="14" xfId="0" applyFont="1" applyBorder="1" applyAlignment="1" applyProtection="1">
      <alignment horizontal="left" vertical="center"/>
      <protection locked="0"/>
    </xf>
    <xf numFmtId="0" fontId="18" fillId="0" borderId="0" xfId="0" applyFont="1" applyAlignment="1" applyProtection="1">
      <alignment horizontal="left" vertical="center"/>
      <protection locked="0"/>
    </xf>
    <xf numFmtId="0" fontId="0" fillId="0" borderId="1" xfId="0" applyBorder="1" applyAlignment="1" applyProtection="1">
      <alignment vertical="center" wrapText="1"/>
      <protection locked="0"/>
    </xf>
    <xf numFmtId="4" fontId="0" fillId="0" borderId="17" xfId="0" applyNumberFormat="1" applyBorder="1" applyAlignment="1" applyProtection="1">
      <alignment horizontal="center"/>
      <protection locked="0"/>
    </xf>
    <xf numFmtId="2" fontId="0" fillId="0" borderId="6" xfId="0" applyNumberFormat="1" applyBorder="1" applyAlignment="1" applyProtection="1">
      <alignment horizontal="left" vertical="center"/>
      <protection locked="0"/>
    </xf>
    <xf numFmtId="2" fontId="0" fillId="0" borderId="9" xfId="0" applyNumberFormat="1" applyBorder="1" applyAlignment="1" applyProtection="1">
      <alignment horizontal="left" vertical="center"/>
      <protection locked="0"/>
    </xf>
    <xf numFmtId="0" fontId="0" fillId="0" borderId="6" xfId="0" applyBorder="1" applyAlignment="1" applyProtection="1">
      <alignment vertical="center" wrapText="1"/>
      <protection locked="0"/>
    </xf>
    <xf numFmtId="0" fontId="0" fillId="0" borderId="9" xfId="0" applyBorder="1" applyAlignment="1" applyProtection="1">
      <alignment vertical="center" wrapText="1"/>
      <protection locked="0"/>
    </xf>
    <xf numFmtId="0" fontId="0" fillId="0" borderId="6" xfId="0"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25" fillId="0" borderId="0" xfId="0" applyFont="1" applyAlignment="1">
      <alignment horizontal="center" vertical="center"/>
    </xf>
    <xf numFmtId="0" fontId="26" fillId="0" borderId="0" xfId="0" applyFont="1" applyAlignment="1">
      <alignment horizontal="center" vertical="center"/>
    </xf>
    <xf numFmtId="0" fontId="25" fillId="0" borderId="0" xfId="0" applyFont="1" applyAlignment="1">
      <alignment vertical="center"/>
    </xf>
    <xf numFmtId="0" fontId="24" fillId="0" borderId="0" xfId="0" applyFont="1"/>
    <xf numFmtId="0" fontId="24" fillId="0" borderId="0" xfId="0" applyFont="1" applyAlignment="1">
      <alignment horizontal="justify" vertical="center"/>
    </xf>
    <xf numFmtId="0" fontId="24" fillId="0" borderId="0" xfId="0" applyFont="1" applyAlignment="1">
      <alignment vertical="center"/>
    </xf>
    <xf numFmtId="0" fontId="24" fillId="0" borderId="0" xfId="0" applyFont="1" applyAlignment="1">
      <alignment horizontal="left" vertical="center" indent="1"/>
    </xf>
    <xf numFmtId="0" fontId="25" fillId="0" borderId="0" xfId="0" applyFont="1"/>
    <xf numFmtId="0" fontId="25" fillId="0" borderId="0" xfId="0" applyFont="1" applyAlignment="1">
      <alignment horizontal="justify" vertical="center"/>
    </xf>
    <xf numFmtId="0" fontId="29" fillId="0" borderId="0" xfId="0" applyFont="1" applyAlignment="1">
      <alignment horizontal="left" vertical="center" indent="13"/>
    </xf>
    <xf numFmtId="0" fontId="31" fillId="0" borderId="0" xfId="0" applyFont="1" applyAlignment="1">
      <alignment horizontal="justify" vertical="center"/>
    </xf>
    <xf numFmtId="0" fontId="35" fillId="0" borderId="0" xfId="0" applyFont="1" applyAlignment="1">
      <alignment horizontal="left" vertical="center" indent="8"/>
    </xf>
    <xf numFmtId="0" fontId="33" fillId="0" borderId="0" xfId="0" applyFont="1" applyAlignment="1">
      <alignment horizontal="justify" vertical="center"/>
    </xf>
    <xf numFmtId="0" fontId="33" fillId="0" borderId="0" xfId="0" applyFont="1" applyAlignment="1">
      <alignment vertical="center"/>
    </xf>
    <xf numFmtId="0" fontId="34" fillId="0" borderId="0" xfId="0" applyFont="1" applyAlignment="1">
      <alignment horizontal="justify" vertical="center"/>
    </xf>
    <xf numFmtId="0" fontId="38" fillId="0" borderId="0" xfId="0" applyFont="1" applyAlignment="1">
      <alignment horizontal="justify" vertical="center"/>
    </xf>
  </cellXfs>
  <cellStyles count="2">
    <cellStyle name="Normal" xfId="0" builtinId="0"/>
    <cellStyle name="Virgül 2" xfId="1" xr:uid="{00000000-0005-0000-0000-000001000000}"/>
  </cellStyles>
  <dxfs count="0"/>
  <tableStyles count="0" defaultTableStyle="TableStyleMedium2" defaultPivotStyle="PivotStyleLight16"/>
  <colors>
    <mruColors>
      <color rgb="FFFFCF00"/>
      <color rgb="FF013682"/>
      <color rgb="FF0000FE"/>
      <color rgb="FFDE0000"/>
      <color rgb="FFECE9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CheckBox" fmlaLink="Tablolar!A34" lockText="1" noThreeD="1"/>
</file>

<file path=xl/ctrlProps/ctrlProp2.xml><?xml version="1.0" encoding="utf-8"?>
<formControlPr xmlns="http://schemas.microsoft.com/office/spreadsheetml/2009/9/main" objectType="CheckBox" fmlaLink="Tablolar!A35" lockText="1" noThreeD="1"/>
</file>

<file path=xl/ctrlProps/ctrlProp3.xml><?xml version="1.0" encoding="utf-8"?>
<formControlPr xmlns="http://schemas.microsoft.com/office/spreadsheetml/2009/9/main" objectType="CheckBox" fmlaLink="Tablolar!A36" lockText="1" noThreeD="1"/>
</file>

<file path=xl/ctrlProps/ctrlProp4.xml><?xml version="1.0" encoding="utf-8"?>
<formControlPr xmlns="http://schemas.microsoft.com/office/spreadsheetml/2009/9/main" objectType="CheckBox" fmlaLink="Tablolar!A37" lockText="1" noThreeD="1"/>
</file>

<file path=xl/ctrlProps/ctrlProp5.xml><?xml version="1.0" encoding="utf-8"?>
<formControlPr xmlns="http://schemas.microsoft.com/office/spreadsheetml/2009/9/main" objectType="CheckBox" fmlaLink="Tablolar!A38" lockText="1" noThreeD="1"/>
</file>

<file path=xl/ctrlProps/ctrlProp6.xml><?xml version="1.0" encoding="utf-8"?>
<formControlPr xmlns="http://schemas.microsoft.com/office/spreadsheetml/2009/9/main" objectType="CheckBox" fmlaLink="Tablolar!A39" lockText="1" noThreeD="1"/>
</file>

<file path=xl/ctrlProps/ctrlProp7.xml><?xml version="1.0" encoding="utf-8"?>
<formControlPr xmlns="http://schemas.microsoft.com/office/spreadsheetml/2009/9/main" objectType="CheckBox" fmlaLink="Tablolar!A40" lockText="1" noThreeD="1"/>
</file>

<file path=xl/ctrlProps/ctrlProp8.xml><?xml version="1.0" encoding="utf-8"?>
<formControlPr xmlns="http://schemas.microsoft.com/office/spreadsheetml/2009/9/main" objectType="CheckBox" fmlaLink="Tablolar!A41" lockText="1" noThreeD="1"/>
</file>

<file path=xl/ctrlProps/ctrlProp9.xml><?xml version="1.0" encoding="utf-8"?>
<formControlPr xmlns="http://schemas.microsoft.com/office/spreadsheetml/2009/9/main" objectType="CheckBox" fmlaLink="Tablolar!A42" lockText="1" noThreeD="1"/>
</file>

<file path=xl/ctrlProps/ctrlProp10.xml><?xml version="1.0" encoding="utf-8"?>
<formControlPr xmlns="http://schemas.microsoft.com/office/spreadsheetml/2009/9/main" objectType="CheckBox" fmlaLink="Tablolar!A43" lockText="1" noThreeD="1"/>
</file>

<file path=xl/ctrlProps/ctrlProp11.xml><?xml version="1.0" encoding="utf-8"?>
<formControlPr xmlns="http://schemas.microsoft.com/office/spreadsheetml/2009/9/main" objectType="CheckBox" fmlaLink="Tablolar!A44" lockText="1" noThreeD="1"/>
</file>

<file path=xl/ctrlProps/ctrlProp12.xml><?xml version="1.0" encoding="utf-8"?>
<formControlPr xmlns="http://schemas.microsoft.com/office/spreadsheetml/2009/9/main" objectType="CheckBox" fmlaLink="Tablolar!A45" lockText="1" noThreeD="1"/>
</file>

<file path=xl/ctrlProps/ctrlProp13.xml><?xml version="1.0" encoding="utf-8"?>
<formControlPr xmlns="http://schemas.microsoft.com/office/spreadsheetml/2009/9/main" objectType="CheckBox" fmlaLink="Tablolar!A46" lockText="1" noThreeD="1"/>
</file>

<file path=xl/ctrlProps/ctrlProp14.xml><?xml version="1.0" encoding="utf-8"?>
<formControlPr xmlns="http://schemas.microsoft.com/office/spreadsheetml/2009/9/main" objectType="CheckBox" fmlaLink="Tablolar!A47" lockText="1" noThreeD="1"/>
</file>

<file path=xl/ctrlProps/ctrlProp15.xml><?xml version="1.0" encoding="utf-8"?>
<formControlPr xmlns="http://schemas.microsoft.com/office/spreadsheetml/2009/9/main" objectType="CheckBox" fmlaLink="Tablolar!A48" lockText="1" noThreeD="1"/>
</file>

<file path=xl/ctrlProps/ctrlProp16.xml><?xml version="1.0" encoding="utf-8"?>
<formControlPr xmlns="http://schemas.microsoft.com/office/spreadsheetml/2009/9/main" objectType="CheckBox" fmlaLink="Tablolar!A49" lockText="1" noThreeD="1"/>
</file>

<file path=xl/ctrlProps/ctrlProp17.xml><?xml version="1.0" encoding="utf-8"?>
<formControlPr xmlns="http://schemas.microsoft.com/office/spreadsheetml/2009/9/main" objectType="CheckBox" fmlaLink="Tablolar!A62" lockText="1" noThreeD="1"/>
</file>

<file path=xl/ctrlProps/ctrlProp18.xml><?xml version="1.0" encoding="utf-8"?>
<formControlPr xmlns="http://schemas.microsoft.com/office/spreadsheetml/2009/9/main" objectType="CheckBox" fmlaLink="Tablolar!A63" lockText="1" noThreeD="1"/>
</file>

<file path=xl/ctrlProps/ctrlProp19.xml><?xml version="1.0" encoding="utf-8"?>
<formControlPr xmlns="http://schemas.microsoft.com/office/spreadsheetml/2009/9/main" objectType="CheckBox" fmlaLink="Tablolar!A64" lockText="1" noThreeD="1"/>
</file>

<file path=xl/ctrlProps/ctrlProp20.xml><?xml version="1.0" encoding="utf-8"?>
<formControlPr xmlns="http://schemas.microsoft.com/office/spreadsheetml/2009/9/main" objectType="CheckBox" fmlaLink="Tablolar!A65" lockText="1" noThreeD="1"/>
</file>

<file path=xl/ctrlProps/ctrlProp21.xml><?xml version="1.0" encoding="utf-8"?>
<formControlPr xmlns="http://schemas.microsoft.com/office/spreadsheetml/2009/9/main" objectType="CheckBox" fmlaLink="Tablolar!A66" lockText="1" noThreeD="1"/>
</file>

<file path=xl/ctrlProps/ctrlProp22.xml><?xml version="1.0" encoding="utf-8"?>
<formControlPr xmlns="http://schemas.microsoft.com/office/spreadsheetml/2009/9/main" objectType="CheckBox" fmlaLink="Tablolar!A67" lockText="1" noThreeD="1"/>
</file>

<file path=xl/ctrlProps/ctrlProp23.xml><?xml version="1.0" encoding="utf-8"?>
<formControlPr xmlns="http://schemas.microsoft.com/office/spreadsheetml/2009/9/main" objectType="CheckBox" fmlaLink="Tablolar!A68" lockText="1" noThreeD="1"/>
</file>

<file path=xl/ctrlProps/ctrlProp24.xml><?xml version="1.0" encoding="utf-8"?>
<formControlPr xmlns="http://schemas.microsoft.com/office/spreadsheetml/2009/9/main" objectType="CheckBox" fmlaLink="Tablolar!A69" lockText="1" noThreeD="1"/>
</file>

<file path=xl/ctrlProps/ctrlProp25.xml><?xml version="1.0" encoding="utf-8"?>
<formControlPr xmlns="http://schemas.microsoft.com/office/spreadsheetml/2009/9/main" objectType="CheckBox" fmlaLink="Tablolar!A70" lockText="1" noThreeD="1"/>
</file>

<file path=xl/ctrlProps/ctrlProp26.xml><?xml version="1.0" encoding="utf-8"?>
<formControlPr xmlns="http://schemas.microsoft.com/office/spreadsheetml/2009/9/main" objectType="CheckBox" fmlaLink="Tablolar!A71" lockText="1" noThreeD="1"/>
</file>

<file path=xl/ctrlProps/ctrlProp27.xml><?xml version="1.0" encoding="utf-8"?>
<formControlPr xmlns="http://schemas.microsoft.com/office/spreadsheetml/2009/9/main" objectType="CheckBox" fmlaLink="Tablolar!A72" lockText="1" noThreeD="1"/>
</file>

<file path=xl/ctrlProps/ctrlProp28.xml><?xml version="1.0" encoding="utf-8"?>
<formControlPr xmlns="http://schemas.microsoft.com/office/spreadsheetml/2009/9/main" objectType="CheckBox" fmlaLink="Tablolar!A73" lockText="1" noThreeD="1"/>
</file>

<file path=xl/ctrlProps/ctrlProp29.xml><?xml version="1.0" encoding="utf-8"?>
<formControlPr xmlns="http://schemas.microsoft.com/office/spreadsheetml/2009/9/main" objectType="CheckBox" fmlaLink="Tablolar!A74" lockText="1" noThreeD="1"/>
</file>

<file path=xl/ctrlProps/ctrlProp30.xml><?xml version="1.0" encoding="utf-8"?>
<formControlPr xmlns="http://schemas.microsoft.com/office/spreadsheetml/2009/9/main" objectType="CheckBox" fmlaLink="Tablolar!A75" lockText="1" noThreeD="1"/>
</file>

<file path=xl/ctrlProps/ctrlProp31.xml><?xml version="1.0" encoding="utf-8"?>
<formControlPr xmlns="http://schemas.microsoft.com/office/spreadsheetml/2009/9/main" objectType="CheckBox" fmlaLink="Tablolar!A76" lockText="1" noThreeD="1"/>
</file>

<file path=xl/ctrlProps/ctrlProp32.xml><?xml version="1.0" encoding="utf-8"?>
<formControlPr xmlns="http://schemas.microsoft.com/office/spreadsheetml/2009/9/main" objectType="CheckBox" fmlaLink="Tablolar!A65" lockText="1" noThreeD="1"/>
</file>

<file path=xl/ctrlProps/ctrlProp33.xml><?xml version="1.0" encoding="utf-8"?>
<formControlPr xmlns="http://schemas.microsoft.com/office/spreadsheetml/2009/9/main" objectType="CheckBox" fmlaLink="Tablolar!D34" lockText="1" noThreeD="1"/>
</file>

<file path=xl/ctrlProps/ctrlProp34.xml><?xml version="1.0" encoding="utf-8"?>
<formControlPr xmlns="http://schemas.microsoft.com/office/spreadsheetml/2009/9/main" objectType="CheckBox" fmlaLink="Tablolar!D35" lockText="1" noThreeD="1"/>
</file>

<file path=xl/ctrlProps/ctrlProp35.xml><?xml version="1.0" encoding="utf-8"?>
<formControlPr xmlns="http://schemas.microsoft.com/office/spreadsheetml/2009/9/main" objectType="CheckBox" fmlaLink="Tablolar!D36" lockText="1" noThreeD="1"/>
</file>

<file path=xl/ctrlProps/ctrlProp36.xml><?xml version="1.0" encoding="utf-8"?>
<formControlPr xmlns="http://schemas.microsoft.com/office/spreadsheetml/2009/9/main" objectType="CheckBox" fmlaLink="Tablolar!D34" lockText="1" noThreeD="1"/>
</file>

<file path=xl/ctrlProps/ctrlProp37.xml><?xml version="1.0" encoding="utf-8"?>
<formControlPr xmlns="http://schemas.microsoft.com/office/spreadsheetml/2009/9/main" objectType="CheckBox" fmlaLink="Tablolar!D37" lockText="1" noThreeD="1"/>
</file>

<file path=xl/ctrlProps/ctrlProp38.xml><?xml version="1.0" encoding="utf-8"?>
<formControlPr xmlns="http://schemas.microsoft.com/office/spreadsheetml/2009/9/main" objectType="CheckBox" fmlaLink="Tablolar!D34" lockText="1" noThreeD="1"/>
</file>

<file path=xl/ctrlProps/ctrlProp39.xml><?xml version="1.0" encoding="utf-8"?>
<formControlPr xmlns="http://schemas.microsoft.com/office/spreadsheetml/2009/9/main" objectType="CheckBox" fmlaLink="Tablolar!D38" lockText="1" noThreeD="1"/>
</file>

<file path=xl/ctrlProps/ctrlProp40.xml><?xml version="1.0" encoding="utf-8"?>
<formControlPr xmlns="http://schemas.microsoft.com/office/spreadsheetml/2009/9/main" objectType="CheckBox" fmlaLink="Tablolar!D34" lockText="1" noThreeD="1"/>
</file>

<file path=xl/ctrlProps/ctrlProp41.xml><?xml version="1.0" encoding="utf-8"?>
<formControlPr xmlns="http://schemas.microsoft.com/office/spreadsheetml/2009/9/main" objectType="CheckBox" fmlaLink="Tablolar!D39" lockText="1" noThreeD="1"/>
</file>

<file path=xl/ctrlProps/ctrlProp42.xml><?xml version="1.0" encoding="utf-8"?>
<formControlPr xmlns="http://schemas.microsoft.com/office/spreadsheetml/2009/9/main" objectType="CheckBox" fmlaLink="Tablolar!D34" lockText="1" noThreeD="1"/>
</file>

<file path=xl/ctrlProps/ctrlProp43.xml><?xml version="1.0" encoding="utf-8"?>
<formControlPr xmlns="http://schemas.microsoft.com/office/spreadsheetml/2009/9/main" objectType="CheckBox" fmlaLink="Tablolar!D40" lockText="1" noThreeD="1"/>
</file>

<file path=xl/ctrlProps/ctrlProp44.xml><?xml version="1.0" encoding="utf-8"?>
<formControlPr xmlns="http://schemas.microsoft.com/office/spreadsheetml/2009/9/main" objectType="CheckBox" fmlaLink="Tablolar!D34" lockText="1" noThreeD="1"/>
</file>

<file path=xl/ctrlProps/ctrlProp45.xml><?xml version="1.0" encoding="utf-8"?>
<formControlPr xmlns="http://schemas.microsoft.com/office/spreadsheetml/2009/9/main" objectType="CheckBox" fmlaLink="Tablolar!D41" lockText="1" noThreeD="1"/>
</file>

<file path=xl/ctrlProps/ctrlProp46.xml><?xml version="1.0" encoding="utf-8"?>
<formControlPr xmlns="http://schemas.microsoft.com/office/spreadsheetml/2009/9/main" objectType="CheckBox" fmlaLink="Tablolar!D34" lockText="1" noThreeD="1"/>
</file>

<file path=xl/ctrlProps/ctrlProp47.xml><?xml version="1.0" encoding="utf-8"?>
<formControlPr xmlns="http://schemas.microsoft.com/office/spreadsheetml/2009/9/main" objectType="CheckBox" fmlaLink="Tablolar!D42" lockText="1" noThreeD="1"/>
</file>

<file path=xl/ctrlProps/ctrlProp48.xml><?xml version="1.0" encoding="utf-8"?>
<formControlPr xmlns="http://schemas.microsoft.com/office/spreadsheetml/2009/9/main" objectType="CheckBox" fmlaLink="Tablolar!D34" lockText="1" noThreeD="1"/>
</file>

<file path=xl/ctrlProps/ctrlProp49.xml><?xml version="1.0" encoding="utf-8"?>
<formControlPr xmlns="http://schemas.microsoft.com/office/spreadsheetml/2009/9/main" objectType="CheckBox" fmlaLink="Tablolar!D43" lockText="1" noThreeD="1"/>
</file>

<file path=xl/ctrlProps/ctrlProp50.xml><?xml version="1.0" encoding="utf-8"?>
<formControlPr xmlns="http://schemas.microsoft.com/office/spreadsheetml/2009/9/main" objectType="CheckBox" fmlaLink="Tablolar!D34" lockText="1" noThreeD="1"/>
</file>

<file path=xl/ctrlProps/ctrlProp51.xml><?xml version="1.0" encoding="utf-8"?>
<formControlPr xmlns="http://schemas.microsoft.com/office/spreadsheetml/2009/9/main" objectType="CheckBox" fmlaLink="Tablolar!D44" lockText="1" noThreeD="1"/>
</file>

<file path=xl/ctrlProps/ctrlProp52.xml><?xml version="1.0" encoding="utf-8"?>
<formControlPr xmlns="http://schemas.microsoft.com/office/spreadsheetml/2009/9/main" objectType="CheckBox" fmlaLink="Tablolar!D34" lockText="1" noThreeD="1"/>
</file>

<file path=xl/ctrlProps/ctrlProp53.xml><?xml version="1.0" encoding="utf-8"?>
<formControlPr xmlns="http://schemas.microsoft.com/office/spreadsheetml/2009/9/main" objectType="CheckBox" fmlaLink="Tablolar!D45" lockText="1" noThreeD="1"/>
</file>

<file path=xl/ctrlProps/ctrlProp54.xml><?xml version="1.0" encoding="utf-8"?>
<formControlPr xmlns="http://schemas.microsoft.com/office/spreadsheetml/2009/9/main" objectType="CheckBox" fmlaLink="Tablolar!D34" lockText="1" noThreeD="1"/>
</file>

<file path=xl/ctrlProps/ctrlProp55.xml><?xml version="1.0" encoding="utf-8"?>
<formControlPr xmlns="http://schemas.microsoft.com/office/spreadsheetml/2009/9/main" objectType="CheckBox" fmlaLink="Tablolar!D46" lockText="1" noThreeD="1"/>
</file>

<file path=xl/ctrlProps/ctrlProp56.xml><?xml version="1.0" encoding="utf-8"?>
<formControlPr xmlns="http://schemas.microsoft.com/office/spreadsheetml/2009/9/main" objectType="CheckBox" fmlaLink="Tablolar!D34" lockText="1" noThreeD="1"/>
</file>

<file path=xl/ctrlProps/ctrlProp57.xml><?xml version="1.0" encoding="utf-8"?>
<formControlPr xmlns="http://schemas.microsoft.com/office/spreadsheetml/2009/9/main" objectType="CheckBox" fmlaLink="Tablolar!D47" lockText="1" noThreeD="1"/>
</file>

<file path=xl/ctrlProps/ctrlProp58.xml><?xml version="1.0" encoding="utf-8"?>
<formControlPr xmlns="http://schemas.microsoft.com/office/spreadsheetml/2009/9/main" objectType="CheckBox" fmlaLink="Tablolar!D34" lockText="1" noThreeD="1"/>
</file>

<file path=xl/ctrlProps/ctrlProp59.xml><?xml version="1.0" encoding="utf-8"?>
<formControlPr xmlns="http://schemas.microsoft.com/office/spreadsheetml/2009/9/main" objectType="CheckBox" fmlaLink="Tablolar!D48" lockText="1" noThreeD="1"/>
</file>

<file path=xl/ctrlProps/ctrlProp60.xml><?xml version="1.0" encoding="utf-8"?>
<formControlPr xmlns="http://schemas.microsoft.com/office/spreadsheetml/2009/9/main" objectType="CheckBox" fmlaLink="Tablolar!D34" lockText="1" noThreeD="1"/>
</file>

<file path=xl/ctrlProps/ctrlProp61.xml><?xml version="1.0" encoding="utf-8"?>
<formControlPr xmlns="http://schemas.microsoft.com/office/spreadsheetml/2009/9/main" objectType="CheckBox" fmlaLink="Tablolar!D49" lockText="1" noThreeD="1"/>
</file>

<file path=xl/ctrlProps/ctrlProp62.xml><?xml version="1.0" encoding="utf-8"?>
<formControlPr xmlns="http://schemas.microsoft.com/office/spreadsheetml/2009/9/main" objectType="CheckBox" fmlaLink="Tablolar!D34" lockText="1" noThreeD="1"/>
</file>

<file path=xl/ctrlProps/ctrlProp63.xml><?xml version="1.0" encoding="utf-8"?>
<formControlPr xmlns="http://schemas.microsoft.com/office/spreadsheetml/2009/9/main" objectType="CheckBox" fmlaLink="Tablolar!D50" lockText="1" noThreeD="1"/>
</file>

<file path=xl/ctrlProps/ctrlProp64.xml><?xml version="1.0" encoding="utf-8"?>
<formControlPr xmlns="http://schemas.microsoft.com/office/spreadsheetml/2009/9/main" objectType="CheckBox" fmlaLink="Tablolar!D34" lockText="1" noThreeD="1"/>
</file>

<file path=xl/ctrlProps/ctrlProp65.xml><?xml version="1.0" encoding="utf-8"?>
<formControlPr xmlns="http://schemas.microsoft.com/office/spreadsheetml/2009/9/main" objectType="CheckBox" fmlaLink="Tablolar!D63" lockText="1" noThreeD="1"/>
</file>

<file path=xl/ctrlProps/ctrlProp66.xml><?xml version="1.0" encoding="utf-8"?>
<formControlPr xmlns="http://schemas.microsoft.com/office/spreadsheetml/2009/9/main" objectType="CheckBox" fmlaLink="Tablolar!D34" lockText="1" noThreeD="1"/>
</file>

<file path=xl/ctrlProps/ctrlProp67.xml><?xml version="1.0" encoding="utf-8"?>
<formControlPr xmlns="http://schemas.microsoft.com/office/spreadsheetml/2009/9/main" objectType="CheckBox" fmlaLink="Tablolar!D64" lockText="1" noThreeD="1"/>
</file>

<file path=xl/ctrlProps/ctrlProp68.xml><?xml version="1.0" encoding="utf-8"?>
<formControlPr xmlns="http://schemas.microsoft.com/office/spreadsheetml/2009/9/main" objectType="CheckBox" fmlaLink="Tablolar!D34" lockText="1" noThreeD="1"/>
</file>

<file path=xl/ctrlProps/ctrlProp69.xml><?xml version="1.0" encoding="utf-8"?>
<formControlPr xmlns="http://schemas.microsoft.com/office/spreadsheetml/2009/9/main" objectType="CheckBox" fmlaLink="Tablolar!D65" lockText="1" noThreeD="1"/>
</file>

<file path=xl/ctrlProps/ctrlProp70.xml><?xml version="1.0" encoding="utf-8"?>
<formControlPr xmlns="http://schemas.microsoft.com/office/spreadsheetml/2009/9/main" objectType="CheckBox" fmlaLink="Tablolar!D34" lockText="1" noThreeD="1"/>
</file>

<file path=xl/ctrlProps/ctrlProp71.xml><?xml version="1.0" encoding="utf-8"?>
<formControlPr xmlns="http://schemas.microsoft.com/office/spreadsheetml/2009/9/main" objectType="CheckBox" fmlaLink="Tablolar!D66" lockText="1" noThreeD="1"/>
</file>

<file path=xl/ctrlProps/ctrlProp72.xml><?xml version="1.0" encoding="utf-8"?>
<formControlPr xmlns="http://schemas.microsoft.com/office/spreadsheetml/2009/9/main" objectType="CheckBox" fmlaLink="Tablolar!D34" lockText="1" noThreeD="1"/>
</file>

<file path=xl/ctrlProps/ctrlProp73.xml><?xml version="1.0" encoding="utf-8"?>
<formControlPr xmlns="http://schemas.microsoft.com/office/spreadsheetml/2009/9/main" objectType="CheckBox" fmlaLink="Tablolar!D67" lockText="1" noThreeD="1"/>
</file>

<file path=xl/ctrlProps/ctrlProp74.xml><?xml version="1.0" encoding="utf-8"?>
<formControlPr xmlns="http://schemas.microsoft.com/office/spreadsheetml/2009/9/main" objectType="CheckBox" fmlaLink="Tablolar!D34" lockText="1" noThreeD="1"/>
</file>

<file path=xl/ctrlProps/ctrlProp75.xml><?xml version="1.0" encoding="utf-8"?>
<formControlPr xmlns="http://schemas.microsoft.com/office/spreadsheetml/2009/9/main" objectType="CheckBox" fmlaLink="Tablolar!D68" lockText="1" noThreeD="1"/>
</file>

<file path=xl/ctrlProps/ctrlProp76.xml><?xml version="1.0" encoding="utf-8"?>
<formControlPr xmlns="http://schemas.microsoft.com/office/spreadsheetml/2009/9/main" objectType="CheckBox" fmlaLink="Tablolar!D34" lockText="1" noThreeD="1"/>
</file>

<file path=xl/ctrlProps/ctrlProp77.xml><?xml version="1.0" encoding="utf-8"?>
<formControlPr xmlns="http://schemas.microsoft.com/office/spreadsheetml/2009/9/main" objectType="CheckBox" fmlaLink="Tablolar!D69" lockText="1" noThreeD="1"/>
</file>

<file path=xl/ctrlProps/ctrlProp78.xml><?xml version="1.0" encoding="utf-8"?>
<formControlPr xmlns="http://schemas.microsoft.com/office/spreadsheetml/2009/9/main" objectType="CheckBox" fmlaLink="Tablolar!D34" lockText="1" noThreeD="1"/>
</file>

<file path=xl/ctrlProps/ctrlProp79.xml><?xml version="1.0" encoding="utf-8"?>
<formControlPr xmlns="http://schemas.microsoft.com/office/spreadsheetml/2009/9/main" objectType="CheckBox" fmlaLink="Tablolar!D70" lockText="1" noThreeD="1"/>
</file>

<file path=xl/ctrlProps/ctrlProp80.xml><?xml version="1.0" encoding="utf-8"?>
<formControlPr xmlns="http://schemas.microsoft.com/office/spreadsheetml/2009/9/main" objectType="CheckBox" fmlaLink="Tablolar!D34" lockText="1" noThreeD="1"/>
</file>

<file path=xl/ctrlProps/ctrlProp81.xml><?xml version="1.0" encoding="utf-8"?>
<formControlPr xmlns="http://schemas.microsoft.com/office/spreadsheetml/2009/9/main" objectType="CheckBox" fmlaLink="Tablolar!D71" lockText="1" noThreeD="1"/>
</file>

<file path=xl/ctrlProps/ctrlProp82.xml><?xml version="1.0" encoding="utf-8"?>
<formControlPr xmlns="http://schemas.microsoft.com/office/spreadsheetml/2009/9/main" objectType="CheckBox" fmlaLink="Tablolar!D34" lockText="1" noThreeD="1"/>
</file>

<file path=xl/ctrlProps/ctrlProp83.xml><?xml version="1.0" encoding="utf-8"?>
<formControlPr xmlns="http://schemas.microsoft.com/office/spreadsheetml/2009/9/main" objectType="CheckBox" fmlaLink="Tablolar!D72" lockText="1" noThreeD="1"/>
</file>

<file path=xl/ctrlProps/ctrlProp84.xml><?xml version="1.0" encoding="utf-8"?>
<formControlPr xmlns="http://schemas.microsoft.com/office/spreadsheetml/2009/9/main" objectType="CheckBox" fmlaLink="Tablolar!D34" lockText="1" noThreeD="1"/>
</file>

<file path=xl/ctrlProps/ctrlProp85.xml><?xml version="1.0" encoding="utf-8"?>
<formControlPr xmlns="http://schemas.microsoft.com/office/spreadsheetml/2009/9/main" objectType="CheckBox" fmlaLink="Tablolar!D73" lockText="1" noThreeD="1"/>
</file>

<file path=xl/ctrlProps/ctrlProp86.xml><?xml version="1.0" encoding="utf-8"?>
<formControlPr xmlns="http://schemas.microsoft.com/office/spreadsheetml/2009/9/main" objectType="CheckBox" fmlaLink="Tablolar!D34" lockText="1" noThreeD="1"/>
</file>

<file path=xl/ctrlProps/ctrlProp87.xml><?xml version="1.0" encoding="utf-8"?>
<formControlPr xmlns="http://schemas.microsoft.com/office/spreadsheetml/2009/9/main" objectType="CheckBox" fmlaLink="Tablolar!D74" lockText="1" noThreeD="1"/>
</file>

<file path=xl/ctrlProps/ctrlProp88.xml><?xml version="1.0" encoding="utf-8"?>
<formControlPr xmlns="http://schemas.microsoft.com/office/spreadsheetml/2009/9/main" objectType="CheckBox" fmlaLink="Tablolar!D34" lockText="1" noThreeD="1"/>
</file>

<file path=xl/ctrlProps/ctrlProp89.xml><?xml version="1.0" encoding="utf-8"?>
<formControlPr xmlns="http://schemas.microsoft.com/office/spreadsheetml/2009/9/main" objectType="CheckBox" fmlaLink="Tablolar!D75" lockText="1" noThreeD="1"/>
</file>

<file path=xl/ctrlProps/ctrlProp90.xml><?xml version="1.0" encoding="utf-8"?>
<formControlPr xmlns="http://schemas.microsoft.com/office/spreadsheetml/2009/9/main" objectType="CheckBox" fmlaLink="Tablolar!D34" lockText="1" noThreeD="1"/>
</file>

<file path=xl/ctrlProps/ctrlProp91.xml><?xml version="1.0" encoding="utf-8"?>
<formControlPr xmlns="http://schemas.microsoft.com/office/spreadsheetml/2009/9/main" objectType="CheckBox" fmlaLink="Tablolar!D76" lockText="1" noThreeD="1"/>
</file>

<file path=xl/ctrlProps/ctrlProp92.xml><?xml version="1.0" encoding="utf-8"?>
<formControlPr xmlns="http://schemas.microsoft.com/office/spreadsheetml/2009/9/main" objectType="CheckBox" fmlaLink="Tablolar!D34" lockText="1" noThreeD="1"/>
</file>

<file path=xl/ctrlProps/ctrlProp93.xml><?xml version="1.0" encoding="utf-8"?>
<formControlPr xmlns="http://schemas.microsoft.com/office/spreadsheetml/2009/9/main" objectType="CheckBox" fmlaLink="Tablolar!D77" lockText="1" noThreeD="1"/>
</file>

<file path=xl/ctrlProps/ctrlProp94.xml><?xml version="1.0" encoding="utf-8"?>
<formControlPr xmlns="http://schemas.microsoft.com/office/spreadsheetml/2009/9/main" objectType="CheckBox" fmlaLink="Tablolar!A49" lockText="1" noThreeD="1"/>
</file>

<file path=xl/ctrlProps/ctrlProp95.xml><?xml version="1.0" encoding="utf-8"?>
<formControlPr xmlns="http://schemas.microsoft.com/office/spreadsheetml/2009/9/main" objectType="CheckBox" fmlaLink="Tablolar!A50" lockText="1" noThreeD="1"/>
</file>

<file path=xl/ctrlProps/ctrlProp96.xml><?xml version="1.0" encoding="utf-8"?>
<formControlPr xmlns="http://schemas.microsoft.com/office/spreadsheetml/2009/9/main" objectType="CheckBox" fmlaLink="Tablolar!A49" lockText="1" noThreeD="1"/>
</file>

<file path=xl/ctrlProps/ctrlProp97.xml><?xml version="1.0" encoding="utf-8"?>
<formControlPr xmlns="http://schemas.microsoft.com/office/spreadsheetml/2009/9/main" objectType="CheckBox" fmlaLink="Tablolar!D34" lockText="1" noThreeD="1"/>
</file>

<file path=xl/ctrlProps/ctrlProp98.xml><?xml version="1.0" encoding="utf-8"?>
<formControlPr xmlns="http://schemas.microsoft.com/office/spreadsheetml/2009/9/main" objectType="CheckBox" fmlaLink="Tablolar!D50" lockText="1" noThreeD="1"/>
</file>

<file path=xl/ctrlProps/ctrlProp99.xml><?xml version="1.0" encoding="utf-8"?>
<formControlPr xmlns="http://schemas.microsoft.com/office/spreadsheetml/2009/9/main" objectType="CheckBox" fmlaLink="Tablolar!D34" lockText="1" noThreeD="1"/>
</file>

<file path=xl/ctrlProps/ctrlProp100.xml><?xml version="1.0" encoding="utf-8"?>
<formControlPr xmlns="http://schemas.microsoft.com/office/spreadsheetml/2009/9/main" objectType="CheckBox" fmlaLink="Tablolar!D51" lockText="1" noThreeD="1"/>
</file>

<file path=xl/ctrlProps/ctrlProp101.xml><?xml version="1.0" encoding="utf-8"?>
<formControlPr xmlns="http://schemas.microsoft.com/office/spreadsheetml/2009/9/main" objectType="CheckBox" fmlaLink="Tablolar!D34" lockText="1" noThreeD="1"/>
</file>

<file path=xl/ctrlProps/ctrlProp102.xml><?xml version="1.0" encoding="utf-8"?>
<formControlPr xmlns="http://schemas.microsoft.com/office/spreadsheetml/2009/9/main" objectType="CheckBox" fmlaLink="Tablolar!D50" lockText="1" noThreeD="1"/>
</file>

<file path=xl/ctrlProps/ctrlProp103.xml><?xml version="1.0" encoding="utf-8"?>
<formControlPr xmlns="http://schemas.microsoft.com/office/spreadsheetml/2009/9/main" objectType="CheckBox" fmlaLink="Tablolar!A51" lockText="1" noThreeD="1"/>
</file>

<file path=xl/ctrlProps/ctrlProp104.xml><?xml version="1.0" encoding="utf-8"?>
<formControlPr xmlns="http://schemas.microsoft.com/office/spreadsheetml/2009/9/main" objectType="CheckBox" fmlaLink="Tablolar!A52" lockText="1" noThreeD="1"/>
</file>

<file path=xl/ctrlProps/ctrlProp105.xml><?xml version="1.0" encoding="utf-8"?>
<formControlPr xmlns="http://schemas.microsoft.com/office/spreadsheetml/2009/9/main" objectType="CheckBox" fmlaLink="Tablolar!A49" lockText="1" noThreeD="1"/>
</file>

<file path=xl/ctrlProps/ctrlProp106.xml><?xml version="1.0" encoding="utf-8"?>
<formControlPr xmlns="http://schemas.microsoft.com/office/spreadsheetml/2009/9/main" objectType="CheckBox" fmlaLink="Tablolar!D34" lockText="1" noThreeD="1"/>
</file>

<file path=xl/ctrlProps/ctrlProp107.xml><?xml version="1.0" encoding="utf-8"?>
<formControlPr xmlns="http://schemas.microsoft.com/office/spreadsheetml/2009/9/main" objectType="CheckBox" fmlaLink="Tablolar!D52" lockText="1" noThreeD="1"/>
</file>

<file path=xl/ctrlProps/ctrlProp108.xml><?xml version="1.0" encoding="utf-8"?>
<formControlPr xmlns="http://schemas.microsoft.com/office/spreadsheetml/2009/9/main" objectType="CheckBox" fmlaLink="Tablolar!D34" lockText="1" noThreeD="1"/>
</file>

<file path=xl/ctrlProps/ctrlProp109.xml><?xml version="1.0" encoding="utf-8"?>
<formControlPr xmlns="http://schemas.microsoft.com/office/spreadsheetml/2009/9/main" objectType="CheckBox" fmlaLink="Tablolar!D53" lockText="1" noThreeD="1"/>
</file>

<file path=xl/ctrlProps/ctrlProp110.xml><?xml version="1.0" encoding="utf-8"?>
<formControlPr xmlns="http://schemas.microsoft.com/office/spreadsheetml/2009/9/main" objectType="CheckBox" fmlaLink="Tablolar!D34" lockText="1" noThreeD="1"/>
</file>

<file path=xl/ctrlProps/ctrlProp111.xml><?xml version="1.0" encoding="utf-8"?>
<formControlPr xmlns="http://schemas.microsoft.com/office/spreadsheetml/2009/9/main" objectType="CheckBox" fmlaLink="Tablolar!D50" lockText="1" noThreeD="1"/>
</file>

<file path=xl/ctrlProps/ctrlProp112.xml><?xml version="1.0" encoding="utf-8"?>
<formControlPr xmlns="http://schemas.microsoft.com/office/spreadsheetml/2009/9/main" objectType="CheckBox" fmlaLink="Tablolar!A47" lockText="1" noThreeD="1"/>
</file>

<file path=xl/ctrlProps/ctrlProp113.xml><?xml version="1.0" encoding="utf-8"?>
<formControlPr xmlns="http://schemas.microsoft.com/office/spreadsheetml/2009/9/main" objectType="CheckBox" fmlaLink="Tablolar!D34" lockText="1" noThreeD="1"/>
</file>

<file path=xl/ctrlProps/ctrlProp114.xml><?xml version="1.0" encoding="utf-8"?>
<formControlPr xmlns="http://schemas.microsoft.com/office/spreadsheetml/2009/9/main" objectType="CheckBox" fmlaLink="Tablolar!D48" lockText="1" noThreeD="1"/>
</file>

<file path=xl/ctrlProps/ctrlProp115.xml><?xml version="1.0" encoding="utf-8"?>
<formControlPr xmlns="http://schemas.microsoft.com/office/spreadsheetml/2009/9/main" objectType="CheckBox" fmlaLink="Tablolar!A53" lockText="1" noThreeD="1"/>
</file>

<file path=xl/ctrlProps/ctrlProp116.xml><?xml version="1.0" encoding="utf-8"?>
<formControlPr xmlns="http://schemas.microsoft.com/office/spreadsheetml/2009/9/main" objectType="CheckBox" fmlaLink="Tablolar!A54" lockText="1" noThreeD="1"/>
</file>

<file path=xl/ctrlProps/ctrlProp117.xml><?xml version="1.0" encoding="utf-8"?>
<formControlPr xmlns="http://schemas.microsoft.com/office/spreadsheetml/2009/9/main" objectType="CheckBox" fmlaLink="Tablolar!A49" lockText="1" noThreeD="1"/>
</file>

<file path=xl/ctrlProps/ctrlProp118.xml><?xml version="1.0" encoding="utf-8"?>
<formControlPr xmlns="http://schemas.microsoft.com/office/spreadsheetml/2009/9/main" objectType="CheckBox" fmlaLink="Tablolar!D34" lockText="1" noThreeD="1"/>
</file>

<file path=xl/ctrlProps/ctrlProp119.xml><?xml version="1.0" encoding="utf-8"?>
<formControlPr xmlns="http://schemas.microsoft.com/office/spreadsheetml/2009/9/main" objectType="CheckBox" fmlaLink="Tablolar!D54" lockText="1" noThreeD="1"/>
</file>

<file path=xl/ctrlProps/ctrlProp120.xml><?xml version="1.0" encoding="utf-8"?>
<formControlPr xmlns="http://schemas.microsoft.com/office/spreadsheetml/2009/9/main" objectType="CheckBox" fmlaLink="Tablolar!D34" lockText="1" noThreeD="1"/>
</file>

<file path=xl/ctrlProps/ctrlProp121.xml><?xml version="1.0" encoding="utf-8"?>
<formControlPr xmlns="http://schemas.microsoft.com/office/spreadsheetml/2009/9/main" objectType="CheckBox" fmlaLink="Tablolar!D55" lockText="1" noThreeD="1"/>
</file>

<file path=xl/ctrlProps/ctrlProp122.xml><?xml version="1.0" encoding="utf-8"?>
<formControlPr xmlns="http://schemas.microsoft.com/office/spreadsheetml/2009/9/main" objectType="CheckBox" fmlaLink="Tablolar!D34" lockText="1" noThreeD="1"/>
</file>

<file path=xl/ctrlProps/ctrlProp123.xml><?xml version="1.0" encoding="utf-8"?>
<formControlPr xmlns="http://schemas.microsoft.com/office/spreadsheetml/2009/9/main" objectType="CheckBox" fmlaLink="Tablolar!D50" lockText="1" noThreeD="1"/>
</file>

<file path=xl/ctrlProps/ctrlProp124.xml><?xml version="1.0" encoding="utf-8"?>
<formControlPr xmlns="http://schemas.microsoft.com/office/spreadsheetml/2009/9/main" objectType="CheckBox" fmlaLink="Tablolar!A47" lockText="1" noThreeD="1"/>
</file>

<file path=xl/ctrlProps/ctrlProp125.xml><?xml version="1.0" encoding="utf-8"?>
<formControlPr xmlns="http://schemas.microsoft.com/office/spreadsheetml/2009/9/main" objectType="CheckBox" fmlaLink="Tablolar!D34" lockText="1" noThreeD="1"/>
</file>

<file path=xl/ctrlProps/ctrlProp126.xml><?xml version="1.0" encoding="utf-8"?>
<formControlPr xmlns="http://schemas.microsoft.com/office/spreadsheetml/2009/9/main" objectType="CheckBox" fmlaLink="Tablolar!D48" lockText="1" noThreeD="1"/>
</file>

<file path=xl/ctrlProps/ctrlProp127.xml><?xml version="1.0" encoding="utf-8"?>
<formControlPr xmlns="http://schemas.microsoft.com/office/spreadsheetml/2009/9/main" objectType="CheckBox" fmlaLink="Tablolar!A55" lockText="1" noThreeD="1"/>
</file>

<file path=xl/ctrlProps/ctrlProp128.xml><?xml version="1.0" encoding="utf-8"?>
<formControlPr xmlns="http://schemas.microsoft.com/office/spreadsheetml/2009/9/main" objectType="CheckBox" fmlaLink="Tablolar!A56" lockText="1" noThreeD="1"/>
</file>

<file path=xl/ctrlProps/ctrlProp129.xml><?xml version="1.0" encoding="utf-8"?>
<formControlPr xmlns="http://schemas.microsoft.com/office/spreadsheetml/2009/9/main" objectType="CheckBox" fmlaLink="Tablolar!A49" lockText="1" noThreeD="1"/>
</file>

<file path=xl/ctrlProps/ctrlProp130.xml><?xml version="1.0" encoding="utf-8"?>
<formControlPr xmlns="http://schemas.microsoft.com/office/spreadsheetml/2009/9/main" objectType="CheckBox" fmlaLink="Tablolar!D34" lockText="1" noThreeD="1"/>
</file>

<file path=xl/ctrlProps/ctrlProp131.xml><?xml version="1.0" encoding="utf-8"?>
<formControlPr xmlns="http://schemas.microsoft.com/office/spreadsheetml/2009/9/main" objectType="CheckBox" fmlaLink="Tablolar!D56" lockText="1" noThreeD="1"/>
</file>

<file path=xl/ctrlProps/ctrlProp132.xml><?xml version="1.0" encoding="utf-8"?>
<formControlPr xmlns="http://schemas.microsoft.com/office/spreadsheetml/2009/9/main" objectType="CheckBox" fmlaLink="Tablolar!D34" lockText="1" noThreeD="1"/>
</file>

<file path=xl/ctrlProps/ctrlProp133.xml><?xml version="1.0" encoding="utf-8"?>
<formControlPr xmlns="http://schemas.microsoft.com/office/spreadsheetml/2009/9/main" objectType="CheckBox" fmlaLink="Tablolar!D57" lockText="1" noThreeD="1"/>
</file>

<file path=xl/ctrlProps/ctrlProp134.xml><?xml version="1.0" encoding="utf-8"?>
<formControlPr xmlns="http://schemas.microsoft.com/office/spreadsheetml/2009/9/main" objectType="CheckBox" fmlaLink="Tablolar!D34" lockText="1" noThreeD="1"/>
</file>

<file path=xl/ctrlProps/ctrlProp135.xml><?xml version="1.0" encoding="utf-8"?>
<formControlPr xmlns="http://schemas.microsoft.com/office/spreadsheetml/2009/9/main" objectType="CheckBox" fmlaLink="Tablolar!D50" lockText="1" noThreeD="1"/>
</file>

<file path=xl/ctrlProps/ctrlProp136.xml><?xml version="1.0" encoding="utf-8"?>
<formControlPr xmlns="http://schemas.microsoft.com/office/spreadsheetml/2009/9/main" objectType="CheckBox" fmlaLink="Tablolar!A47" lockText="1" noThreeD="1"/>
</file>

<file path=xl/ctrlProps/ctrlProp137.xml><?xml version="1.0" encoding="utf-8"?>
<formControlPr xmlns="http://schemas.microsoft.com/office/spreadsheetml/2009/9/main" objectType="CheckBox" fmlaLink="Tablolar!D34" lockText="1" noThreeD="1"/>
</file>

<file path=xl/ctrlProps/ctrlProp138.xml><?xml version="1.0" encoding="utf-8"?>
<formControlPr xmlns="http://schemas.microsoft.com/office/spreadsheetml/2009/9/main" objectType="CheckBox" fmlaLink="Tablolar!D48" lockText="1" noThreeD="1"/>
</file>

<file path=xl/ctrlProps/ctrlProp139.xml><?xml version="1.0" encoding="utf-8"?>
<formControlPr xmlns="http://schemas.microsoft.com/office/spreadsheetml/2009/9/main" objectType="CheckBox" fmlaLink="Tablolar!A57" lockText="1" noThreeD="1"/>
</file>

<file path=xl/ctrlProps/ctrlProp140.xml><?xml version="1.0" encoding="utf-8"?>
<formControlPr xmlns="http://schemas.microsoft.com/office/spreadsheetml/2009/9/main" objectType="CheckBox" fmlaLink="Tablolar!A58" lockText="1" noThreeD="1"/>
</file>

<file path=xl/ctrlProps/ctrlProp141.xml><?xml version="1.0" encoding="utf-8"?>
<formControlPr xmlns="http://schemas.microsoft.com/office/spreadsheetml/2009/9/main" objectType="CheckBox" fmlaLink="Tablolar!A49" lockText="1" noThreeD="1"/>
</file>

<file path=xl/ctrlProps/ctrlProp142.xml><?xml version="1.0" encoding="utf-8"?>
<formControlPr xmlns="http://schemas.microsoft.com/office/spreadsheetml/2009/9/main" objectType="CheckBox" fmlaLink="Tablolar!D34" lockText="1" noThreeD="1"/>
</file>

<file path=xl/ctrlProps/ctrlProp143.xml><?xml version="1.0" encoding="utf-8"?>
<formControlPr xmlns="http://schemas.microsoft.com/office/spreadsheetml/2009/9/main" objectType="CheckBox" fmlaLink="Tablolar!D58" lockText="1" noThreeD="1"/>
</file>

<file path=xl/ctrlProps/ctrlProp144.xml><?xml version="1.0" encoding="utf-8"?>
<formControlPr xmlns="http://schemas.microsoft.com/office/spreadsheetml/2009/9/main" objectType="CheckBox" fmlaLink="Tablolar!D34" lockText="1" noThreeD="1"/>
</file>

<file path=xl/ctrlProps/ctrlProp145.xml><?xml version="1.0" encoding="utf-8"?>
<formControlPr xmlns="http://schemas.microsoft.com/office/spreadsheetml/2009/9/main" objectType="CheckBox" fmlaLink="Tablolar!D59" lockText="1" noThreeD="1"/>
</file>

<file path=xl/ctrlProps/ctrlProp146.xml><?xml version="1.0" encoding="utf-8"?>
<formControlPr xmlns="http://schemas.microsoft.com/office/spreadsheetml/2009/9/main" objectType="CheckBox" fmlaLink="Tablolar!D34" lockText="1" noThreeD="1"/>
</file>

<file path=xl/ctrlProps/ctrlProp147.xml><?xml version="1.0" encoding="utf-8"?>
<formControlPr xmlns="http://schemas.microsoft.com/office/spreadsheetml/2009/9/main" objectType="CheckBox" fmlaLink="Tablolar!D50" lockText="1" noThreeD="1"/>
</file>

<file path=xl/ctrlProps/ctrlProp148.xml><?xml version="1.0" encoding="utf-8"?>
<formControlPr xmlns="http://schemas.microsoft.com/office/spreadsheetml/2009/9/main" objectType="CheckBox" fmlaLink="Tablolar!A47" lockText="1" noThreeD="1"/>
</file>

<file path=xl/ctrlProps/ctrlProp149.xml><?xml version="1.0" encoding="utf-8"?>
<formControlPr xmlns="http://schemas.microsoft.com/office/spreadsheetml/2009/9/main" objectType="CheckBox" fmlaLink="Tablolar!D34" lockText="1" noThreeD="1"/>
</file>

<file path=xl/ctrlProps/ctrlProp150.xml><?xml version="1.0" encoding="utf-8"?>
<formControlPr xmlns="http://schemas.microsoft.com/office/spreadsheetml/2009/9/main" objectType="CheckBox" fmlaLink="Tablolar!D48" lockText="1" noThreeD="1"/>
</file>

<file path=xl/ctrlProps/ctrlProp151.xml><?xml version="1.0" encoding="utf-8"?>
<formControlPr xmlns="http://schemas.microsoft.com/office/spreadsheetml/2009/9/main" objectType="CheckBox" fmlaLink="Tablolar!A59" lockText="1" noThreeD="1"/>
</file>

<file path=xl/ctrlProps/ctrlProp152.xml><?xml version="1.0" encoding="utf-8"?>
<formControlPr xmlns="http://schemas.microsoft.com/office/spreadsheetml/2009/9/main" objectType="CheckBox" fmlaLink="Tablolar!A60" lockText="1" noThreeD="1"/>
</file>

<file path=xl/ctrlProps/ctrlProp153.xml><?xml version="1.0" encoding="utf-8"?>
<formControlPr xmlns="http://schemas.microsoft.com/office/spreadsheetml/2009/9/main" objectType="CheckBox" fmlaLink="Tablolar!A49" lockText="1" noThreeD="1"/>
</file>

<file path=xl/ctrlProps/ctrlProp154.xml><?xml version="1.0" encoding="utf-8"?>
<formControlPr xmlns="http://schemas.microsoft.com/office/spreadsheetml/2009/9/main" objectType="CheckBox" fmlaLink="Tablolar!D34" lockText="1" noThreeD="1"/>
</file>

<file path=xl/ctrlProps/ctrlProp155.xml><?xml version="1.0" encoding="utf-8"?>
<formControlPr xmlns="http://schemas.microsoft.com/office/spreadsheetml/2009/9/main" objectType="CheckBox" fmlaLink="Tablolar!D60" lockText="1" noThreeD="1"/>
</file>

<file path=xl/ctrlProps/ctrlProp156.xml><?xml version="1.0" encoding="utf-8"?>
<formControlPr xmlns="http://schemas.microsoft.com/office/spreadsheetml/2009/9/main" objectType="CheckBox" fmlaLink="Tablolar!D34" lockText="1" noThreeD="1"/>
</file>

<file path=xl/ctrlProps/ctrlProp157.xml><?xml version="1.0" encoding="utf-8"?>
<formControlPr xmlns="http://schemas.microsoft.com/office/spreadsheetml/2009/9/main" objectType="CheckBox" fmlaLink="Tablolar!D61" lockText="1" noThreeD="1"/>
</file>

<file path=xl/ctrlProps/ctrlProp158.xml><?xml version="1.0" encoding="utf-8"?>
<formControlPr xmlns="http://schemas.microsoft.com/office/spreadsheetml/2009/9/main" objectType="CheckBox" fmlaLink="Tablolar!D34" lockText="1" noThreeD="1"/>
</file>

<file path=xl/ctrlProps/ctrlProp159.xml><?xml version="1.0" encoding="utf-8"?>
<formControlPr xmlns="http://schemas.microsoft.com/office/spreadsheetml/2009/9/main" objectType="CheckBox" fmlaLink="Tablolar!D50" lockText="1" noThreeD="1"/>
</file>

<file path=xl/ctrlProps/ctrlProp160.xml><?xml version="1.0" encoding="utf-8"?>
<formControlPr xmlns="http://schemas.microsoft.com/office/spreadsheetml/2009/9/main" objectType="CheckBox" fmlaLink="Tablolar!A61" lockText="1" noThreeD="1"/>
</file>

<file path=xl/ctrlProps/ctrlProp161.xml><?xml version="1.0" encoding="utf-8"?>
<formControlPr xmlns="http://schemas.microsoft.com/office/spreadsheetml/2009/9/main" objectType="CheckBox" fmlaLink="Tablolar!D34" lockText="1" noThreeD="1"/>
</file>

<file path=xl/ctrlProps/ctrlProp162.xml><?xml version="1.0" encoding="utf-8"?>
<formControlPr xmlns="http://schemas.microsoft.com/office/spreadsheetml/2009/9/main" objectType="CheckBox" fmlaLink="Tablolar!D62" lockText="1" noThreeD="1"/>
</file>

<file path=xl/ctrlProps/ctrlProp163.xml><?xml version="1.0" encoding="utf-8"?>
<formControlPr xmlns="http://schemas.microsoft.com/office/spreadsheetml/2009/9/main" objectType="CheckBox" fmlaLink="Tablolar!A77" lockText="1" noThreeD="1"/>
</file>

<file path=xl/ctrlProps/ctrlProp164.xml><?xml version="1.0" encoding="utf-8"?>
<formControlPr xmlns="http://schemas.microsoft.com/office/spreadsheetml/2009/9/main" objectType="CheckBox" fmlaLink="Tablolar!A78" lockText="1" noThreeD="1"/>
</file>

<file path=xl/ctrlProps/ctrlProp165.xml><?xml version="1.0" encoding="utf-8"?>
<formControlPr xmlns="http://schemas.microsoft.com/office/spreadsheetml/2009/9/main" objectType="CheckBox" fmlaLink="Tablolar!A79" lockText="1" noThreeD="1"/>
</file>

<file path=xl/ctrlProps/ctrlProp166.xml><?xml version="1.0" encoding="utf-8"?>
<formControlPr xmlns="http://schemas.microsoft.com/office/spreadsheetml/2009/9/main" objectType="CheckBox" fmlaLink="Tablolar!D34" lockText="1" noThreeD="1"/>
</file>

<file path=xl/ctrlProps/ctrlProp167.xml><?xml version="1.0" encoding="utf-8"?>
<formControlPr xmlns="http://schemas.microsoft.com/office/spreadsheetml/2009/9/main" objectType="CheckBox" fmlaLink="Tablolar!D78" lockText="1" noThreeD="1"/>
</file>

<file path=xl/ctrlProps/ctrlProp168.xml><?xml version="1.0" encoding="utf-8"?>
<formControlPr xmlns="http://schemas.microsoft.com/office/spreadsheetml/2009/9/main" objectType="CheckBox" fmlaLink="Tablolar!D34" lockText="1" noThreeD="1"/>
</file>

<file path=xl/ctrlProps/ctrlProp169.xml><?xml version="1.0" encoding="utf-8"?>
<formControlPr xmlns="http://schemas.microsoft.com/office/spreadsheetml/2009/9/main" objectType="CheckBox" fmlaLink="Tablolar!D79"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266700</xdr:colOff>
          <xdr:row>14</xdr:row>
          <xdr:rowOff>200025</xdr:rowOff>
        </xdr:from>
        <xdr:to>
          <xdr:col>0</xdr:col>
          <xdr:colOff>571500</xdr:colOff>
          <xdr:row>15</xdr:row>
          <xdr:rowOff>200025</xdr:rowOff>
        </xdr:to>
        <xdr:sp macro="" textlink="">
          <xdr:nvSpPr>
            <xdr:cNvPr id="1027" name="Check Box 3" descr="Onay Kutusu"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16</xdr:row>
          <xdr:rowOff>9525</xdr:rowOff>
        </xdr:from>
        <xdr:to>
          <xdr:col>0</xdr:col>
          <xdr:colOff>571500</xdr:colOff>
          <xdr:row>17</xdr:row>
          <xdr:rowOff>9525</xdr:rowOff>
        </xdr:to>
        <xdr:sp macro="" textlink="">
          <xdr:nvSpPr>
            <xdr:cNvPr id="1211" name="Check Box 187" descr="Onay Kutusu" hidden="1">
              <a:extLst>
                <a:ext uri="{63B3BB69-23CF-44E3-9099-C40C66FF867C}">
                  <a14:compatExt spid="_x0000_s1211"/>
                </a:ext>
                <a:ext uri="{FF2B5EF4-FFF2-40B4-BE49-F238E27FC236}">
                  <a16:creationId xmlns:a16="http://schemas.microsoft.com/office/drawing/2014/main" id="{00000000-0008-0000-0000-0000B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17</xdr:row>
          <xdr:rowOff>9525</xdr:rowOff>
        </xdr:from>
        <xdr:to>
          <xdr:col>0</xdr:col>
          <xdr:colOff>571500</xdr:colOff>
          <xdr:row>18</xdr:row>
          <xdr:rowOff>9525</xdr:rowOff>
        </xdr:to>
        <xdr:sp macro="" textlink="">
          <xdr:nvSpPr>
            <xdr:cNvPr id="1212" name="Check Box 188" descr="Onay Kutusu" hidden="1">
              <a:extLst>
                <a:ext uri="{63B3BB69-23CF-44E3-9099-C40C66FF867C}">
                  <a14:compatExt spid="_x0000_s1212"/>
                </a:ext>
                <a:ext uri="{FF2B5EF4-FFF2-40B4-BE49-F238E27FC236}">
                  <a16:creationId xmlns:a16="http://schemas.microsoft.com/office/drawing/2014/main" id="{00000000-0008-0000-0000-0000B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18</xdr:row>
          <xdr:rowOff>9525</xdr:rowOff>
        </xdr:from>
        <xdr:to>
          <xdr:col>0</xdr:col>
          <xdr:colOff>571500</xdr:colOff>
          <xdr:row>19</xdr:row>
          <xdr:rowOff>9525</xdr:rowOff>
        </xdr:to>
        <xdr:sp macro="" textlink="">
          <xdr:nvSpPr>
            <xdr:cNvPr id="1213" name="Check Box 189" descr="Onay Kutusu" hidden="1">
              <a:extLst>
                <a:ext uri="{63B3BB69-23CF-44E3-9099-C40C66FF867C}">
                  <a14:compatExt spid="_x0000_s1213"/>
                </a:ext>
                <a:ext uri="{FF2B5EF4-FFF2-40B4-BE49-F238E27FC236}">
                  <a16:creationId xmlns:a16="http://schemas.microsoft.com/office/drawing/2014/main" id="{00000000-0008-0000-0000-0000B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19</xdr:row>
          <xdr:rowOff>9525</xdr:rowOff>
        </xdr:from>
        <xdr:to>
          <xdr:col>0</xdr:col>
          <xdr:colOff>571500</xdr:colOff>
          <xdr:row>20</xdr:row>
          <xdr:rowOff>9525</xdr:rowOff>
        </xdr:to>
        <xdr:sp macro="" textlink="">
          <xdr:nvSpPr>
            <xdr:cNvPr id="1214" name="Check Box 190" descr="Onay Kutusu" hidden="1">
              <a:extLst>
                <a:ext uri="{63B3BB69-23CF-44E3-9099-C40C66FF867C}">
                  <a14:compatExt spid="_x0000_s1214"/>
                </a:ext>
                <a:ext uri="{FF2B5EF4-FFF2-40B4-BE49-F238E27FC236}">
                  <a16:creationId xmlns:a16="http://schemas.microsoft.com/office/drawing/2014/main" id="{00000000-0008-0000-0000-0000B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20</xdr:row>
          <xdr:rowOff>9525</xdr:rowOff>
        </xdr:from>
        <xdr:to>
          <xdr:col>0</xdr:col>
          <xdr:colOff>571500</xdr:colOff>
          <xdr:row>21</xdr:row>
          <xdr:rowOff>9525</xdr:rowOff>
        </xdr:to>
        <xdr:sp macro="" textlink="">
          <xdr:nvSpPr>
            <xdr:cNvPr id="1215" name="Check Box 191" descr="Onay Kutusu" hidden="1">
              <a:extLst>
                <a:ext uri="{63B3BB69-23CF-44E3-9099-C40C66FF867C}">
                  <a14:compatExt spid="_x0000_s1215"/>
                </a:ext>
                <a:ext uri="{FF2B5EF4-FFF2-40B4-BE49-F238E27FC236}">
                  <a16:creationId xmlns:a16="http://schemas.microsoft.com/office/drawing/2014/main" id="{00000000-0008-0000-0000-0000B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21</xdr:row>
          <xdr:rowOff>9525</xdr:rowOff>
        </xdr:from>
        <xdr:to>
          <xdr:col>0</xdr:col>
          <xdr:colOff>571500</xdr:colOff>
          <xdr:row>22</xdr:row>
          <xdr:rowOff>9525</xdr:rowOff>
        </xdr:to>
        <xdr:sp macro="" textlink="">
          <xdr:nvSpPr>
            <xdr:cNvPr id="1216" name="Check Box 192" descr="Onay Kutusu" hidden="1">
              <a:extLst>
                <a:ext uri="{63B3BB69-23CF-44E3-9099-C40C66FF867C}">
                  <a14:compatExt spid="_x0000_s1216"/>
                </a:ext>
                <a:ext uri="{FF2B5EF4-FFF2-40B4-BE49-F238E27FC236}">
                  <a16:creationId xmlns:a16="http://schemas.microsoft.com/office/drawing/2014/main" id="{00000000-0008-0000-0000-0000C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22</xdr:row>
          <xdr:rowOff>9525</xdr:rowOff>
        </xdr:from>
        <xdr:to>
          <xdr:col>0</xdr:col>
          <xdr:colOff>571500</xdr:colOff>
          <xdr:row>23</xdr:row>
          <xdr:rowOff>9525</xdr:rowOff>
        </xdr:to>
        <xdr:sp macro="" textlink="">
          <xdr:nvSpPr>
            <xdr:cNvPr id="1217" name="Check Box 193" descr="Onay Kutusu" hidden="1">
              <a:extLst>
                <a:ext uri="{63B3BB69-23CF-44E3-9099-C40C66FF867C}">
                  <a14:compatExt spid="_x0000_s1217"/>
                </a:ext>
                <a:ext uri="{FF2B5EF4-FFF2-40B4-BE49-F238E27FC236}">
                  <a16:creationId xmlns:a16="http://schemas.microsoft.com/office/drawing/2014/main" id="{00000000-0008-0000-0000-0000C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23</xdr:row>
          <xdr:rowOff>9525</xdr:rowOff>
        </xdr:from>
        <xdr:to>
          <xdr:col>0</xdr:col>
          <xdr:colOff>571500</xdr:colOff>
          <xdr:row>24</xdr:row>
          <xdr:rowOff>9525</xdr:rowOff>
        </xdr:to>
        <xdr:sp macro="" textlink="">
          <xdr:nvSpPr>
            <xdr:cNvPr id="1218" name="Check Box 194" descr="Onay Kutusu" hidden="1">
              <a:extLst>
                <a:ext uri="{63B3BB69-23CF-44E3-9099-C40C66FF867C}">
                  <a14:compatExt spid="_x0000_s1218"/>
                </a:ext>
                <a:ext uri="{FF2B5EF4-FFF2-40B4-BE49-F238E27FC236}">
                  <a16:creationId xmlns:a16="http://schemas.microsoft.com/office/drawing/2014/main" id="{00000000-0008-0000-0000-0000C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24</xdr:row>
          <xdr:rowOff>9525</xdr:rowOff>
        </xdr:from>
        <xdr:to>
          <xdr:col>0</xdr:col>
          <xdr:colOff>571500</xdr:colOff>
          <xdr:row>25</xdr:row>
          <xdr:rowOff>9525</xdr:rowOff>
        </xdr:to>
        <xdr:sp macro="" textlink="">
          <xdr:nvSpPr>
            <xdr:cNvPr id="1219" name="Check Box 195" descr="Onay Kutusu" hidden="1">
              <a:extLst>
                <a:ext uri="{63B3BB69-23CF-44E3-9099-C40C66FF867C}">
                  <a14:compatExt spid="_x0000_s1219"/>
                </a:ext>
                <a:ext uri="{FF2B5EF4-FFF2-40B4-BE49-F238E27FC236}">
                  <a16:creationId xmlns:a16="http://schemas.microsoft.com/office/drawing/2014/main" id="{00000000-0008-0000-0000-0000C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25</xdr:row>
          <xdr:rowOff>9525</xdr:rowOff>
        </xdr:from>
        <xdr:to>
          <xdr:col>0</xdr:col>
          <xdr:colOff>571500</xdr:colOff>
          <xdr:row>26</xdr:row>
          <xdr:rowOff>9525</xdr:rowOff>
        </xdr:to>
        <xdr:sp macro="" textlink="">
          <xdr:nvSpPr>
            <xdr:cNvPr id="1220" name="Check Box 196" descr="Onay Kutusu" hidden="1">
              <a:extLst>
                <a:ext uri="{63B3BB69-23CF-44E3-9099-C40C66FF867C}">
                  <a14:compatExt spid="_x0000_s1220"/>
                </a:ext>
                <a:ext uri="{FF2B5EF4-FFF2-40B4-BE49-F238E27FC236}">
                  <a16:creationId xmlns:a16="http://schemas.microsoft.com/office/drawing/2014/main" id="{00000000-0008-0000-0000-0000C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26</xdr:row>
          <xdr:rowOff>9525</xdr:rowOff>
        </xdr:from>
        <xdr:to>
          <xdr:col>0</xdr:col>
          <xdr:colOff>571500</xdr:colOff>
          <xdr:row>27</xdr:row>
          <xdr:rowOff>9525</xdr:rowOff>
        </xdr:to>
        <xdr:sp macro="" textlink="">
          <xdr:nvSpPr>
            <xdr:cNvPr id="1221" name="Check Box 197" descr="Onay Kutusu" hidden="1">
              <a:extLst>
                <a:ext uri="{63B3BB69-23CF-44E3-9099-C40C66FF867C}">
                  <a14:compatExt spid="_x0000_s1221"/>
                </a:ext>
                <a:ext uri="{FF2B5EF4-FFF2-40B4-BE49-F238E27FC236}">
                  <a16:creationId xmlns:a16="http://schemas.microsoft.com/office/drawing/2014/main" id="{00000000-0008-0000-0000-0000C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27</xdr:row>
          <xdr:rowOff>9525</xdr:rowOff>
        </xdr:from>
        <xdr:to>
          <xdr:col>0</xdr:col>
          <xdr:colOff>571500</xdr:colOff>
          <xdr:row>28</xdr:row>
          <xdr:rowOff>9525</xdr:rowOff>
        </xdr:to>
        <xdr:sp macro="" textlink="">
          <xdr:nvSpPr>
            <xdr:cNvPr id="1222" name="Check Box 198" descr="Onay Kutusu" hidden="1">
              <a:extLst>
                <a:ext uri="{63B3BB69-23CF-44E3-9099-C40C66FF867C}">
                  <a14:compatExt spid="_x0000_s1222"/>
                </a:ext>
                <a:ext uri="{FF2B5EF4-FFF2-40B4-BE49-F238E27FC236}">
                  <a16:creationId xmlns:a16="http://schemas.microsoft.com/office/drawing/2014/main" id="{00000000-0008-0000-0000-0000C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28</xdr:row>
          <xdr:rowOff>9525</xdr:rowOff>
        </xdr:from>
        <xdr:to>
          <xdr:col>0</xdr:col>
          <xdr:colOff>571500</xdr:colOff>
          <xdr:row>29</xdr:row>
          <xdr:rowOff>9525</xdr:rowOff>
        </xdr:to>
        <xdr:sp macro="" textlink="">
          <xdr:nvSpPr>
            <xdr:cNvPr id="1223" name="Check Box 199" descr="Onay Kutusu" hidden="1">
              <a:extLst>
                <a:ext uri="{63B3BB69-23CF-44E3-9099-C40C66FF867C}">
                  <a14:compatExt spid="_x0000_s1223"/>
                </a:ext>
                <a:ext uri="{FF2B5EF4-FFF2-40B4-BE49-F238E27FC236}">
                  <a16:creationId xmlns:a16="http://schemas.microsoft.com/office/drawing/2014/main" id="{00000000-0008-0000-0000-0000C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29</xdr:row>
          <xdr:rowOff>9525</xdr:rowOff>
        </xdr:from>
        <xdr:to>
          <xdr:col>0</xdr:col>
          <xdr:colOff>571500</xdr:colOff>
          <xdr:row>30</xdr:row>
          <xdr:rowOff>9525</xdr:rowOff>
        </xdr:to>
        <xdr:sp macro="" textlink="">
          <xdr:nvSpPr>
            <xdr:cNvPr id="1224" name="Check Box 200" descr="Onay Kutusu" hidden="1">
              <a:extLst>
                <a:ext uri="{63B3BB69-23CF-44E3-9099-C40C66FF867C}">
                  <a14:compatExt spid="_x0000_s1224"/>
                </a:ext>
                <a:ext uri="{FF2B5EF4-FFF2-40B4-BE49-F238E27FC236}">
                  <a16:creationId xmlns:a16="http://schemas.microsoft.com/office/drawing/2014/main" id="{00000000-0008-0000-0000-0000C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30</xdr:row>
          <xdr:rowOff>9525</xdr:rowOff>
        </xdr:from>
        <xdr:to>
          <xdr:col>0</xdr:col>
          <xdr:colOff>571500</xdr:colOff>
          <xdr:row>31</xdr:row>
          <xdr:rowOff>9525</xdr:rowOff>
        </xdr:to>
        <xdr:sp macro="" textlink="">
          <xdr:nvSpPr>
            <xdr:cNvPr id="1225" name="Check Box 201" descr="Onay Kutusu" hidden="1">
              <a:extLst>
                <a:ext uri="{63B3BB69-23CF-44E3-9099-C40C66FF867C}">
                  <a14:compatExt spid="_x0000_s1225"/>
                </a:ext>
                <a:ext uri="{FF2B5EF4-FFF2-40B4-BE49-F238E27FC236}">
                  <a16:creationId xmlns:a16="http://schemas.microsoft.com/office/drawing/2014/main" id="{00000000-0008-0000-0000-0000C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43</xdr:row>
          <xdr:rowOff>9525</xdr:rowOff>
        </xdr:from>
        <xdr:to>
          <xdr:col>0</xdr:col>
          <xdr:colOff>571500</xdr:colOff>
          <xdr:row>44</xdr:row>
          <xdr:rowOff>9525</xdr:rowOff>
        </xdr:to>
        <xdr:sp macro="" textlink="">
          <xdr:nvSpPr>
            <xdr:cNvPr id="1226" name="Check Box 202" descr="Onay Kutusu" hidden="1">
              <a:extLst>
                <a:ext uri="{63B3BB69-23CF-44E3-9099-C40C66FF867C}">
                  <a14:compatExt spid="_x0000_s1226"/>
                </a:ext>
                <a:ext uri="{FF2B5EF4-FFF2-40B4-BE49-F238E27FC236}">
                  <a16:creationId xmlns:a16="http://schemas.microsoft.com/office/drawing/2014/main" id="{00000000-0008-0000-0000-0000C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44</xdr:row>
          <xdr:rowOff>9525</xdr:rowOff>
        </xdr:from>
        <xdr:to>
          <xdr:col>0</xdr:col>
          <xdr:colOff>571500</xdr:colOff>
          <xdr:row>45</xdr:row>
          <xdr:rowOff>9525</xdr:rowOff>
        </xdr:to>
        <xdr:sp macro="" textlink="">
          <xdr:nvSpPr>
            <xdr:cNvPr id="1227" name="Check Box 203" descr="Onay Kutusu" hidden="1">
              <a:extLst>
                <a:ext uri="{63B3BB69-23CF-44E3-9099-C40C66FF867C}">
                  <a14:compatExt spid="_x0000_s1227"/>
                </a:ext>
                <a:ext uri="{FF2B5EF4-FFF2-40B4-BE49-F238E27FC236}">
                  <a16:creationId xmlns:a16="http://schemas.microsoft.com/office/drawing/2014/main" id="{00000000-0008-0000-0000-0000C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45</xdr:row>
          <xdr:rowOff>9525</xdr:rowOff>
        </xdr:from>
        <xdr:to>
          <xdr:col>0</xdr:col>
          <xdr:colOff>571500</xdr:colOff>
          <xdr:row>46</xdr:row>
          <xdr:rowOff>9525</xdr:rowOff>
        </xdr:to>
        <xdr:sp macro="" textlink="">
          <xdr:nvSpPr>
            <xdr:cNvPr id="1228" name="Check Box 204" descr="Onay Kutusu" hidden="1">
              <a:extLst>
                <a:ext uri="{63B3BB69-23CF-44E3-9099-C40C66FF867C}">
                  <a14:compatExt spid="_x0000_s1228"/>
                </a:ext>
                <a:ext uri="{FF2B5EF4-FFF2-40B4-BE49-F238E27FC236}">
                  <a16:creationId xmlns:a16="http://schemas.microsoft.com/office/drawing/2014/main" id="{00000000-0008-0000-0000-0000C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46</xdr:row>
          <xdr:rowOff>9525</xdr:rowOff>
        </xdr:from>
        <xdr:to>
          <xdr:col>0</xdr:col>
          <xdr:colOff>571500</xdr:colOff>
          <xdr:row>47</xdr:row>
          <xdr:rowOff>9525</xdr:rowOff>
        </xdr:to>
        <xdr:sp macro="" textlink="">
          <xdr:nvSpPr>
            <xdr:cNvPr id="1229" name="Check Box 205" descr="Onay Kutusu" hidden="1">
              <a:extLst>
                <a:ext uri="{63B3BB69-23CF-44E3-9099-C40C66FF867C}">
                  <a14:compatExt spid="_x0000_s1229"/>
                </a:ext>
                <a:ext uri="{FF2B5EF4-FFF2-40B4-BE49-F238E27FC236}">
                  <a16:creationId xmlns:a16="http://schemas.microsoft.com/office/drawing/2014/main" id="{00000000-0008-0000-0000-0000C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47</xdr:row>
          <xdr:rowOff>9525</xdr:rowOff>
        </xdr:from>
        <xdr:to>
          <xdr:col>0</xdr:col>
          <xdr:colOff>571500</xdr:colOff>
          <xdr:row>48</xdr:row>
          <xdr:rowOff>9525</xdr:rowOff>
        </xdr:to>
        <xdr:sp macro="" textlink="">
          <xdr:nvSpPr>
            <xdr:cNvPr id="1230" name="Check Box 206" descr="Onay Kutusu" hidden="1">
              <a:extLst>
                <a:ext uri="{63B3BB69-23CF-44E3-9099-C40C66FF867C}">
                  <a14:compatExt spid="_x0000_s1230"/>
                </a:ext>
                <a:ext uri="{FF2B5EF4-FFF2-40B4-BE49-F238E27FC236}">
                  <a16:creationId xmlns:a16="http://schemas.microsoft.com/office/drawing/2014/main" id="{00000000-0008-0000-0000-0000C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48</xdr:row>
          <xdr:rowOff>9525</xdr:rowOff>
        </xdr:from>
        <xdr:to>
          <xdr:col>0</xdr:col>
          <xdr:colOff>571500</xdr:colOff>
          <xdr:row>49</xdr:row>
          <xdr:rowOff>9525</xdr:rowOff>
        </xdr:to>
        <xdr:sp macro="" textlink="">
          <xdr:nvSpPr>
            <xdr:cNvPr id="1231" name="Check Box 207" descr="Onay Kutusu" hidden="1">
              <a:extLst>
                <a:ext uri="{63B3BB69-23CF-44E3-9099-C40C66FF867C}">
                  <a14:compatExt spid="_x0000_s1231"/>
                </a:ext>
                <a:ext uri="{FF2B5EF4-FFF2-40B4-BE49-F238E27FC236}">
                  <a16:creationId xmlns:a16="http://schemas.microsoft.com/office/drawing/2014/main" id="{00000000-0008-0000-0000-0000C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49</xdr:row>
          <xdr:rowOff>9525</xdr:rowOff>
        </xdr:from>
        <xdr:to>
          <xdr:col>0</xdr:col>
          <xdr:colOff>571500</xdr:colOff>
          <xdr:row>50</xdr:row>
          <xdr:rowOff>9525</xdr:rowOff>
        </xdr:to>
        <xdr:sp macro="" textlink="">
          <xdr:nvSpPr>
            <xdr:cNvPr id="1232" name="Check Box 208" descr="Onay Kutusu" hidden="1">
              <a:extLst>
                <a:ext uri="{63B3BB69-23CF-44E3-9099-C40C66FF867C}">
                  <a14:compatExt spid="_x0000_s1232"/>
                </a:ext>
                <a:ext uri="{FF2B5EF4-FFF2-40B4-BE49-F238E27FC236}">
                  <a16:creationId xmlns:a16="http://schemas.microsoft.com/office/drawing/2014/main" id="{00000000-0008-0000-0000-0000D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50</xdr:row>
          <xdr:rowOff>9525</xdr:rowOff>
        </xdr:from>
        <xdr:to>
          <xdr:col>0</xdr:col>
          <xdr:colOff>571500</xdr:colOff>
          <xdr:row>51</xdr:row>
          <xdr:rowOff>9525</xdr:rowOff>
        </xdr:to>
        <xdr:sp macro="" textlink="">
          <xdr:nvSpPr>
            <xdr:cNvPr id="1233" name="Check Box 209" descr="Onay Kutusu" hidden="1">
              <a:extLst>
                <a:ext uri="{63B3BB69-23CF-44E3-9099-C40C66FF867C}">
                  <a14:compatExt spid="_x0000_s1233"/>
                </a:ext>
                <a:ext uri="{FF2B5EF4-FFF2-40B4-BE49-F238E27FC236}">
                  <a16:creationId xmlns:a16="http://schemas.microsoft.com/office/drawing/2014/main" id="{00000000-0008-0000-0000-0000D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51</xdr:row>
          <xdr:rowOff>9525</xdr:rowOff>
        </xdr:from>
        <xdr:to>
          <xdr:col>0</xdr:col>
          <xdr:colOff>571500</xdr:colOff>
          <xdr:row>52</xdr:row>
          <xdr:rowOff>9525</xdr:rowOff>
        </xdr:to>
        <xdr:sp macro="" textlink="">
          <xdr:nvSpPr>
            <xdr:cNvPr id="1234" name="Check Box 210" descr="Onay Kutusu" hidden="1">
              <a:extLst>
                <a:ext uri="{63B3BB69-23CF-44E3-9099-C40C66FF867C}">
                  <a14:compatExt spid="_x0000_s1234"/>
                </a:ext>
                <a:ext uri="{FF2B5EF4-FFF2-40B4-BE49-F238E27FC236}">
                  <a16:creationId xmlns:a16="http://schemas.microsoft.com/office/drawing/2014/main" id="{00000000-0008-0000-0000-0000D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52</xdr:row>
          <xdr:rowOff>9525</xdr:rowOff>
        </xdr:from>
        <xdr:to>
          <xdr:col>0</xdr:col>
          <xdr:colOff>571500</xdr:colOff>
          <xdr:row>53</xdr:row>
          <xdr:rowOff>9525</xdr:rowOff>
        </xdr:to>
        <xdr:sp macro="" textlink="">
          <xdr:nvSpPr>
            <xdr:cNvPr id="1235" name="Check Box 211" descr="Onay Kutusu" hidden="1">
              <a:extLst>
                <a:ext uri="{63B3BB69-23CF-44E3-9099-C40C66FF867C}">
                  <a14:compatExt spid="_x0000_s1235"/>
                </a:ext>
                <a:ext uri="{FF2B5EF4-FFF2-40B4-BE49-F238E27FC236}">
                  <a16:creationId xmlns:a16="http://schemas.microsoft.com/office/drawing/2014/main" id="{00000000-0008-0000-0000-0000D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53</xdr:row>
          <xdr:rowOff>9525</xdr:rowOff>
        </xdr:from>
        <xdr:to>
          <xdr:col>0</xdr:col>
          <xdr:colOff>571500</xdr:colOff>
          <xdr:row>54</xdr:row>
          <xdr:rowOff>9525</xdr:rowOff>
        </xdr:to>
        <xdr:sp macro="" textlink="">
          <xdr:nvSpPr>
            <xdr:cNvPr id="1236" name="Check Box 212" descr="Onay Kutusu" hidden="1">
              <a:extLst>
                <a:ext uri="{63B3BB69-23CF-44E3-9099-C40C66FF867C}">
                  <a14:compatExt spid="_x0000_s1236"/>
                </a:ext>
                <a:ext uri="{FF2B5EF4-FFF2-40B4-BE49-F238E27FC236}">
                  <a16:creationId xmlns:a16="http://schemas.microsoft.com/office/drawing/2014/main" id="{00000000-0008-0000-0000-0000D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54</xdr:row>
          <xdr:rowOff>9525</xdr:rowOff>
        </xdr:from>
        <xdr:to>
          <xdr:col>0</xdr:col>
          <xdr:colOff>571500</xdr:colOff>
          <xdr:row>55</xdr:row>
          <xdr:rowOff>9525</xdr:rowOff>
        </xdr:to>
        <xdr:sp macro="" textlink="">
          <xdr:nvSpPr>
            <xdr:cNvPr id="1237" name="Check Box 213" descr="Onay Kutusu" hidden="1">
              <a:extLst>
                <a:ext uri="{63B3BB69-23CF-44E3-9099-C40C66FF867C}">
                  <a14:compatExt spid="_x0000_s1237"/>
                </a:ext>
                <a:ext uri="{FF2B5EF4-FFF2-40B4-BE49-F238E27FC236}">
                  <a16:creationId xmlns:a16="http://schemas.microsoft.com/office/drawing/2014/main" id="{00000000-0008-0000-0000-0000D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55</xdr:row>
          <xdr:rowOff>9525</xdr:rowOff>
        </xdr:from>
        <xdr:to>
          <xdr:col>0</xdr:col>
          <xdr:colOff>571500</xdr:colOff>
          <xdr:row>56</xdr:row>
          <xdr:rowOff>9525</xdr:rowOff>
        </xdr:to>
        <xdr:sp macro="" textlink="">
          <xdr:nvSpPr>
            <xdr:cNvPr id="1238" name="Check Box 214" descr="Onay Kutusu" hidden="1">
              <a:extLst>
                <a:ext uri="{63B3BB69-23CF-44E3-9099-C40C66FF867C}">
                  <a14:compatExt spid="_x0000_s1238"/>
                </a:ext>
                <a:ext uri="{FF2B5EF4-FFF2-40B4-BE49-F238E27FC236}">
                  <a16:creationId xmlns:a16="http://schemas.microsoft.com/office/drawing/2014/main" id="{00000000-0008-0000-0000-0000D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56</xdr:row>
          <xdr:rowOff>9525</xdr:rowOff>
        </xdr:from>
        <xdr:to>
          <xdr:col>0</xdr:col>
          <xdr:colOff>571500</xdr:colOff>
          <xdr:row>57</xdr:row>
          <xdr:rowOff>9525</xdr:rowOff>
        </xdr:to>
        <xdr:sp macro="" textlink="">
          <xdr:nvSpPr>
            <xdr:cNvPr id="1239" name="Check Box 215" descr="Onay Kutusu" hidden="1">
              <a:extLst>
                <a:ext uri="{63B3BB69-23CF-44E3-9099-C40C66FF867C}">
                  <a14:compatExt spid="_x0000_s1239"/>
                </a:ext>
                <a:ext uri="{FF2B5EF4-FFF2-40B4-BE49-F238E27FC236}">
                  <a16:creationId xmlns:a16="http://schemas.microsoft.com/office/drawing/2014/main" id="{00000000-0008-0000-0000-0000D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57</xdr:row>
          <xdr:rowOff>9525</xdr:rowOff>
        </xdr:from>
        <xdr:to>
          <xdr:col>0</xdr:col>
          <xdr:colOff>571500</xdr:colOff>
          <xdr:row>58</xdr:row>
          <xdr:rowOff>9525</xdr:rowOff>
        </xdr:to>
        <xdr:sp macro="" textlink="">
          <xdr:nvSpPr>
            <xdr:cNvPr id="1240" name="Check Box 216" descr="Onay Kutusu" hidden="1">
              <a:extLst>
                <a:ext uri="{63B3BB69-23CF-44E3-9099-C40C66FF867C}">
                  <a14:compatExt spid="_x0000_s1240"/>
                </a:ext>
                <a:ext uri="{FF2B5EF4-FFF2-40B4-BE49-F238E27FC236}">
                  <a16:creationId xmlns:a16="http://schemas.microsoft.com/office/drawing/2014/main" id="{00000000-0008-0000-0000-0000D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57</xdr:row>
          <xdr:rowOff>219075</xdr:rowOff>
        </xdr:from>
        <xdr:to>
          <xdr:col>0</xdr:col>
          <xdr:colOff>571500</xdr:colOff>
          <xdr:row>59</xdr:row>
          <xdr:rowOff>0</xdr:rowOff>
        </xdr:to>
        <xdr:sp macro="" textlink="">
          <xdr:nvSpPr>
            <xdr:cNvPr id="1241" name="Check Box 217" descr="Onay Kutusu" hidden="1">
              <a:extLst>
                <a:ext uri="{63B3BB69-23CF-44E3-9099-C40C66FF867C}">
                  <a14:compatExt spid="_x0000_s1241"/>
                </a:ext>
                <a:ext uri="{FF2B5EF4-FFF2-40B4-BE49-F238E27FC236}">
                  <a16:creationId xmlns:a16="http://schemas.microsoft.com/office/drawing/2014/main" id="{00000000-0008-0000-0000-0000D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14</xdr:row>
          <xdr:rowOff>200025</xdr:rowOff>
        </xdr:from>
        <xdr:to>
          <xdr:col>3</xdr:col>
          <xdr:colOff>638175</xdr:colOff>
          <xdr:row>15</xdr:row>
          <xdr:rowOff>200025</xdr:rowOff>
        </xdr:to>
        <xdr:sp macro="" textlink="">
          <xdr:nvSpPr>
            <xdr:cNvPr id="1243" name="Check Box 219" descr="Onay Kutusu" hidden="1">
              <a:extLst>
                <a:ext uri="{63B3BB69-23CF-44E3-9099-C40C66FF867C}">
                  <a14:compatExt spid="_x0000_s1243"/>
                </a:ext>
                <a:ext uri="{FF2B5EF4-FFF2-40B4-BE49-F238E27FC236}">
                  <a16:creationId xmlns:a16="http://schemas.microsoft.com/office/drawing/2014/main" id="{00000000-0008-0000-0000-0000D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15</xdr:row>
          <xdr:rowOff>200025</xdr:rowOff>
        </xdr:from>
        <xdr:to>
          <xdr:col>3</xdr:col>
          <xdr:colOff>638175</xdr:colOff>
          <xdr:row>16</xdr:row>
          <xdr:rowOff>200025</xdr:rowOff>
        </xdr:to>
        <xdr:sp macro="" textlink="">
          <xdr:nvSpPr>
            <xdr:cNvPr id="1244" name="Check Box 220" descr="Onay Kutusu" hidden="1">
              <a:extLst>
                <a:ext uri="{63B3BB69-23CF-44E3-9099-C40C66FF867C}">
                  <a14:compatExt spid="_x0000_s1244"/>
                </a:ext>
                <a:ext uri="{FF2B5EF4-FFF2-40B4-BE49-F238E27FC236}">
                  <a16:creationId xmlns:a16="http://schemas.microsoft.com/office/drawing/2014/main" id="{00000000-0008-0000-0000-0000D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16</xdr:row>
          <xdr:rowOff>200025</xdr:rowOff>
        </xdr:from>
        <xdr:to>
          <xdr:col>3</xdr:col>
          <xdr:colOff>638175</xdr:colOff>
          <xdr:row>17</xdr:row>
          <xdr:rowOff>200025</xdr:rowOff>
        </xdr:to>
        <xdr:sp macro="" textlink="">
          <xdr:nvSpPr>
            <xdr:cNvPr id="1245" name="Check Box 221" descr="Onay Kutusu" hidden="1">
              <a:extLst>
                <a:ext uri="{63B3BB69-23CF-44E3-9099-C40C66FF867C}">
                  <a14:compatExt spid="_x0000_s1245"/>
                </a:ext>
                <a:ext uri="{FF2B5EF4-FFF2-40B4-BE49-F238E27FC236}">
                  <a16:creationId xmlns:a16="http://schemas.microsoft.com/office/drawing/2014/main" id="{00000000-0008-0000-0000-0000D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200025</xdr:rowOff>
        </xdr:from>
        <xdr:to>
          <xdr:col>3</xdr:col>
          <xdr:colOff>638175</xdr:colOff>
          <xdr:row>18</xdr:row>
          <xdr:rowOff>200025</xdr:rowOff>
        </xdr:to>
        <xdr:sp macro="" textlink="">
          <xdr:nvSpPr>
            <xdr:cNvPr id="1246" name="Check Box 222" descr="Onay Kutusu" hidden="1">
              <a:extLst>
                <a:ext uri="{63B3BB69-23CF-44E3-9099-C40C66FF867C}">
                  <a14:compatExt spid="_x0000_s1246"/>
                </a:ext>
                <a:ext uri="{FF2B5EF4-FFF2-40B4-BE49-F238E27FC236}">
                  <a16:creationId xmlns:a16="http://schemas.microsoft.com/office/drawing/2014/main" id="{00000000-0008-0000-0000-0000D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200025</xdr:rowOff>
        </xdr:from>
        <xdr:to>
          <xdr:col>3</xdr:col>
          <xdr:colOff>638175</xdr:colOff>
          <xdr:row>18</xdr:row>
          <xdr:rowOff>200025</xdr:rowOff>
        </xdr:to>
        <xdr:sp macro="" textlink="">
          <xdr:nvSpPr>
            <xdr:cNvPr id="1247" name="Check Box 223" descr="Onay Kutusu" hidden="1">
              <a:extLst>
                <a:ext uri="{63B3BB69-23CF-44E3-9099-C40C66FF867C}">
                  <a14:compatExt spid="_x0000_s1247"/>
                </a:ext>
                <a:ext uri="{FF2B5EF4-FFF2-40B4-BE49-F238E27FC236}">
                  <a16:creationId xmlns:a16="http://schemas.microsoft.com/office/drawing/2014/main" id="{00000000-0008-0000-0000-0000D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18</xdr:row>
          <xdr:rowOff>200025</xdr:rowOff>
        </xdr:from>
        <xdr:to>
          <xdr:col>3</xdr:col>
          <xdr:colOff>638175</xdr:colOff>
          <xdr:row>19</xdr:row>
          <xdr:rowOff>200025</xdr:rowOff>
        </xdr:to>
        <xdr:sp macro="" textlink="">
          <xdr:nvSpPr>
            <xdr:cNvPr id="1248" name="Check Box 224" descr="Onay Kutusu" hidden="1">
              <a:extLst>
                <a:ext uri="{63B3BB69-23CF-44E3-9099-C40C66FF867C}">
                  <a14:compatExt spid="_x0000_s1248"/>
                </a:ext>
                <a:ext uri="{FF2B5EF4-FFF2-40B4-BE49-F238E27FC236}">
                  <a16:creationId xmlns:a16="http://schemas.microsoft.com/office/drawing/2014/main" id="{00000000-0008-0000-0000-0000E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18</xdr:row>
          <xdr:rowOff>200025</xdr:rowOff>
        </xdr:from>
        <xdr:to>
          <xdr:col>3</xdr:col>
          <xdr:colOff>638175</xdr:colOff>
          <xdr:row>19</xdr:row>
          <xdr:rowOff>200025</xdr:rowOff>
        </xdr:to>
        <xdr:sp macro="" textlink="">
          <xdr:nvSpPr>
            <xdr:cNvPr id="1249" name="Check Box 225" descr="Onay Kutusu" hidden="1">
              <a:extLst>
                <a:ext uri="{63B3BB69-23CF-44E3-9099-C40C66FF867C}">
                  <a14:compatExt spid="_x0000_s1249"/>
                </a:ext>
                <a:ext uri="{FF2B5EF4-FFF2-40B4-BE49-F238E27FC236}">
                  <a16:creationId xmlns:a16="http://schemas.microsoft.com/office/drawing/2014/main" id="{00000000-0008-0000-0000-0000E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19</xdr:row>
          <xdr:rowOff>200025</xdr:rowOff>
        </xdr:from>
        <xdr:to>
          <xdr:col>3</xdr:col>
          <xdr:colOff>638175</xdr:colOff>
          <xdr:row>20</xdr:row>
          <xdr:rowOff>200025</xdr:rowOff>
        </xdr:to>
        <xdr:sp macro="" textlink="">
          <xdr:nvSpPr>
            <xdr:cNvPr id="1250" name="Check Box 226" descr="Onay Kutusu" hidden="1">
              <a:extLst>
                <a:ext uri="{63B3BB69-23CF-44E3-9099-C40C66FF867C}">
                  <a14:compatExt spid="_x0000_s1250"/>
                </a:ext>
                <a:ext uri="{FF2B5EF4-FFF2-40B4-BE49-F238E27FC236}">
                  <a16:creationId xmlns:a16="http://schemas.microsoft.com/office/drawing/2014/main" id="{00000000-0008-0000-0000-0000E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19</xdr:row>
          <xdr:rowOff>200025</xdr:rowOff>
        </xdr:from>
        <xdr:to>
          <xdr:col>3</xdr:col>
          <xdr:colOff>638175</xdr:colOff>
          <xdr:row>20</xdr:row>
          <xdr:rowOff>200025</xdr:rowOff>
        </xdr:to>
        <xdr:sp macro="" textlink="">
          <xdr:nvSpPr>
            <xdr:cNvPr id="1251" name="Check Box 227" descr="Onay Kutusu" hidden="1">
              <a:extLst>
                <a:ext uri="{63B3BB69-23CF-44E3-9099-C40C66FF867C}">
                  <a14:compatExt spid="_x0000_s1251"/>
                </a:ext>
                <a:ext uri="{FF2B5EF4-FFF2-40B4-BE49-F238E27FC236}">
                  <a16:creationId xmlns:a16="http://schemas.microsoft.com/office/drawing/2014/main" id="{00000000-0008-0000-0000-0000E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20</xdr:row>
          <xdr:rowOff>200025</xdr:rowOff>
        </xdr:from>
        <xdr:to>
          <xdr:col>3</xdr:col>
          <xdr:colOff>638175</xdr:colOff>
          <xdr:row>21</xdr:row>
          <xdr:rowOff>200025</xdr:rowOff>
        </xdr:to>
        <xdr:sp macro="" textlink="">
          <xdr:nvSpPr>
            <xdr:cNvPr id="1252" name="Check Box 228" descr="Onay Kutusu" hidden="1">
              <a:extLst>
                <a:ext uri="{63B3BB69-23CF-44E3-9099-C40C66FF867C}">
                  <a14:compatExt spid="_x0000_s1252"/>
                </a:ext>
                <a:ext uri="{FF2B5EF4-FFF2-40B4-BE49-F238E27FC236}">
                  <a16:creationId xmlns:a16="http://schemas.microsoft.com/office/drawing/2014/main" id="{00000000-0008-0000-0000-0000E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20</xdr:row>
          <xdr:rowOff>200025</xdr:rowOff>
        </xdr:from>
        <xdr:to>
          <xdr:col>3</xdr:col>
          <xdr:colOff>638175</xdr:colOff>
          <xdr:row>21</xdr:row>
          <xdr:rowOff>200025</xdr:rowOff>
        </xdr:to>
        <xdr:sp macro="" textlink="">
          <xdr:nvSpPr>
            <xdr:cNvPr id="1253" name="Check Box 229" descr="Onay Kutusu" hidden="1">
              <a:extLst>
                <a:ext uri="{63B3BB69-23CF-44E3-9099-C40C66FF867C}">
                  <a14:compatExt spid="_x0000_s1253"/>
                </a:ext>
                <a:ext uri="{FF2B5EF4-FFF2-40B4-BE49-F238E27FC236}">
                  <a16:creationId xmlns:a16="http://schemas.microsoft.com/office/drawing/2014/main" id="{00000000-0008-0000-0000-0000E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21</xdr:row>
          <xdr:rowOff>200025</xdr:rowOff>
        </xdr:from>
        <xdr:to>
          <xdr:col>3</xdr:col>
          <xdr:colOff>638175</xdr:colOff>
          <xdr:row>22</xdr:row>
          <xdr:rowOff>200025</xdr:rowOff>
        </xdr:to>
        <xdr:sp macro="" textlink="">
          <xdr:nvSpPr>
            <xdr:cNvPr id="1254" name="Check Box 230" descr="Onay Kutusu" hidden="1">
              <a:extLst>
                <a:ext uri="{63B3BB69-23CF-44E3-9099-C40C66FF867C}">
                  <a14:compatExt spid="_x0000_s1254"/>
                </a:ext>
                <a:ext uri="{FF2B5EF4-FFF2-40B4-BE49-F238E27FC236}">
                  <a16:creationId xmlns:a16="http://schemas.microsoft.com/office/drawing/2014/main" id="{00000000-0008-0000-0000-0000E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21</xdr:row>
          <xdr:rowOff>200025</xdr:rowOff>
        </xdr:from>
        <xdr:to>
          <xdr:col>3</xdr:col>
          <xdr:colOff>638175</xdr:colOff>
          <xdr:row>22</xdr:row>
          <xdr:rowOff>200025</xdr:rowOff>
        </xdr:to>
        <xdr:sp macro="" textlink="">
          <xdr:nvSpPr>
            <xdr:cNvPr id="1255" name="Check Box 231" descr="Onay Kutusu" hidden="1">
              <a:extLst>
                <a:ext uri="{63B3BB69-23CF-44E3-9099-C40C66FF867C}">
                  <a14:compatExt spid="_x0000_s1255"/>
                </a:ext>
                <a:ext uri="{FF2B5EF4-FFF2-40B4-BE49-F238E27FC236}">
                  <a16:creationId xmlns:a16="http://schemas.microsoft.com/office/drawing/2014/main" id="{00000000-0008-0000-0000-0000E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22</xdr:row>
          <xdr:rowOff>200025</xdr:rowOff>
        </xdr:from>
        <xdr:to>
          <xdr:col>3</xdr:col>
          <xdr:colOff>638175</xdr:colOff>
          <xdr:row>23</xdr:row>
          <xdr:rowOff>200025</xdr:rowOff>
        </xdr:to>
        <xdr:sp macro="" textlink="">
          <xdr:nvSpPr>
            <xdr:cNvPr id="1256" name="Check Box 232" descr="Onay Kutusu" hidden="1">
              <a:extLst>
                <a:ext uri="{63B3BB69-23CF-44E3-9099-C40C66FF867C}">
                  <a14:compatExt spid="_x0000_s1256"/>
                </a:ext>
                <a:ext uri="{FF2B5EF4-FFF2-40B4-BE49-F238E27FC236}">
                  <a16:creationId xmlns:a16="http://schemas.microsoft.com/office/drawing/2014/main" id="{00000000-0008-0000-0000-0000E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22</xdr:row>
          <xdr:rowOff>200025</xdr:rowOff>
        </xdr:from>
        <xdr:to>
          <xdr:col>3</xdr:col>
          <xdr:colOff>638175</xdr:colOff>
          <xdr:row>23</xdr:row>
          <xdr:rowOff>200025</xdr:rowOff>
        </xdr:to>
        <xdr:sp macro="" textlink="">
          <xdr:nvSpPr>
            <xdr:cNvPr id="1257" name="Check Box 233" descr="Onay Kutusu" hidden="1">
              <a:extLst>
                <a:ext uri="{63B3BB69-23CF-44E3-9099-C40C66FF867C}">
                  <a14:compatExt spid="_x0000_s1257"/>
                </a:ext>
                <a:ext uri="{FF2B5EF4-FFF2-40B4-BE49-F238E27FC236}">
                  <a16:creationId xmlns:a16="http://schemas.microsoft.com/office/drawing/2014/main" id="{00000000-0008-0000-0000-0000E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23</xdr:row>
          <xdr:rowOff>200025</xdr:rowOff>
        </xdr:from>
        <xdr:to>
          <xdr:col>3</xdr:col>
          <xdr:colOff>638175</xdr:colOff>
          <xdr:row>24</xdr:row>
          <xdr:rowOff>200025</xdr:rowOff>
        </xdr:to>
        <xdr:sp macro="" textlink="">
          <xdr:nvSpPr>
            <xdr:cNvPr id="1258" name="Check Box 234" descr="Onay Kutusu" hidden="1">
              <a:extLst>
                <a:ext uri="{63B3BB69-23CF-44E3-9099-C40C66FF867C}">
                  <a14:compatExt spid="_x0000_s1258"/>
                </a:ext>
                <a:ext uri="{FF2B5EF4-FFF2-40B4-BE49-F238E27FC236}">
                  <a16:creationId xmlns:a16="http://schemas.microsoft.com/office/drawing/2014/main" id="{00000000-0008-0000-0000-0000E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23</xdr:row>
          <xdr:rowOff>200025</xdr:rowOff>
        </xdr:from>
        <xdr:to>
          <xdr:col>3</xdr:col>
          <xdr:colOff>638175</xdr:colOff>
          <xdr:row>24</xdr:row>
          <xdr:rowOff>200025</xdr:rowOff>
        </xdr:to>
        <xdr:sp macro="" textlink="">
          <xdr:nvSpPr>
            <xdr:cNvPr id="1259" name="Check Box 235" descr="Onay Kutusu" hidden="1">
              <a:extLst>
                <a:ext uri="{63B3BB69-23CF-44E3-9099-C40C66FF867C}">
                  <a14:compatExt spid="_x0000_s1259"/>
                </a:ext>
                <a:ext uri="{FF2B5EF4-FFF2-40B4-BE49-F238E27FC236}">
                  <a16:creationId xmlns:a16="http://schemas.microsoft.com/office/drawing/2014/main" id="{00000000-0008-0000-0000-0000E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24</xdr:row>
          <xdr:rowOff>200025</xdr:rowOff>
        </xdr:from>
        <xdr:to>
          <xdr:col>3</xdr:col>
          <xdr:colOff>638175</xdr:colOff>
          <xdr:row>25</xdr:row>
          <xdr:rowOff>200025</xdr:rowOff>
        </xdr:to>
        <xdr:sp macro="" textlink="">
          <xdr:nvSpPr>
            <xdr:cNvPr id="1260" name="Check Box 236" descr="Onay Kutusu" hidden="1">
              <a:extLst>
                <a:ext uri="{63B3BB69-23CF-44E3-9099-C40C66FF867C}">
                  <a14:compatExt spid="_x0000_s1260"/>
                </a:ext>
                <a:ext uri="{FF2B5EF4-FFF2-40B4-BE49-F238E27FC236}">
                  <a16:creationId xmlns:a16="http://schemas.microsoft.com/office/drawing/2014/main" id="{00000000-0008-0000-0000-0000E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24</xdr:row>
          <xdr:rowOff>200025</xdr:rowOff>
        </xdr:from>
        <xdr:to>
          <xdr:col>3</xdr:col>
          <xdr:colOff>638175</xdr:colOff>
          <xdr:row>25</xdr:row>
          <xdr:rowOff>200025</xdr:rowOff>
        </xdr:to>
        <xdr:sp macro="" textlink="">
          <xdr:nvSpPr>
            <xdr:cNvPr id="1261" name="Check Box 237" descr="Onay Kutusu" hidden="1">
              <a:extLst>
                <a:ext uri="{63B3BB69-23CF-44E3-9099-C40C66FF867C}">
                  <a14:compatExt spid="_x0000_s1261"/>
                </a:ext>
                <a:ext uri="{FF2B5EF4-FFF2-40B4-BE49-F238E27FC236}">
                  <a16:creationId xmlns:a16="http://schemas.microsoft.com/office/drawing/2014/main" id="{00000000-0008-0000-0000-0000E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25</xdr:row>
          <xdr:rowOff>200025</xdr:rowOff>
        </xdr:from>
        <xdr:to>
          <xdr:col>3</xdr:col>
          <xdr:colOff>638175</xdr:colOff>
          <xdr:row>26</xdr:row>
          <xdr:rowOff>200025</xdr:rowOff>
        </xdr:to>
        <xdr:sp macro="" textlink="">
          <xdr:nvSpPr>
            <xdr:cNvPr id="1262" name="Check Box 238" descr="Onay Kutusu" hidden="1">
              <a:extLst>
                <a:ext uri="{63B3BB69-23CF-44E3-9099-C40C66FF867C}">
                  <a14:compatExt spid="_x0000_s1262"/>
                </a:ext>
                <a:ext uri="{FF2B5EF4-FFF2-40B4-BE49-F238E27FC236}">
                  <a16:creationId xmlns:a16="http://schemas.microsoft.com/office/drawing/2014/main" id="{00000000-0008-0000-0000-0000E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25</xdr:row>
          <xdr:rowOff>200025</xdr:rowOff>
        </xdr:from>
        <xdr:to>
          <xdr:col>3</xdr:col>
          <xdr:colOff>638175</xdr:colOff>
          <xdr:row>26</xdr:row>
          <xdr:rowOff>200025</xdr:rowOff>
        </xdr:to>
        <xdr:sp macro="" textlink="">
          <xdr:nvSpPr>
            <xdr:cNvPr id="1263" name="Check Box 239" descr="Onay Kutusu" hidden="1">
              <a:extLst>
                <a:ext uri="{63B3BB69-23CF-44E3-9099-C40C66FF867C}">
                  <a14:compatExt spid="_x0000_s1263"/>
                </a:ext>
                <a:ext uri="{FF2B5EF4-FFF2-40B4-BE49-F238E27FC236}">
                  <a16:creationId xmlns:a16="http://schemas.microsoft.com/office/drawing/2014/main" id="{00000000-0008-0000-0000-0000E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26</xdr:row>
          <xdr:rowOff>200025</xdr:rowOff>
        </xdr:from>
        <xdr:to>
          <xdr:col>3</xdr:col>
          <xdr:colOff>638175</xdr:colOff>
          <xdr:row>27</xdr:row>
          <xdr:rowOff>200025</xdr:rowOff>
        </xdr:to>
        <xdr:sp macro="" textlink="">
          <xdr:nvSpPr>
            <xdr:cNvPr id="1264" name="Check Box 240" descr="Onay Kutusu" hidden="1">
              <a:extLst>
                <a:ext uri="{63B3BB69-23CF-44E3-9099-C40C66FF867C}">
                  <a14:compatExt spid="_x0000_s1264"/>
                </a:ext>
                <a:ext uri="{FF2B5EF4-FFF2-40B4-BE49-F238E27FC236}">
                  <a16:creationId xmlns:a16="http://schemas.microsoft.com/office/drawing/2014/main" id="{00000000-0008-0000-0000-0000F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26</xdr:row>
          <xdr:rowOff>200025</xdr:rowOff>
        </xdr:from>
        <xdr:to>
          <xdr:col>3</xdr:col>
          <xdr:colOff>638175</xdr:colOff>
          <xdr:row>27</xdr:row>
          <xdr:rowOff>200025</xdr:rowOff>
        </xdr:to>
        <xdr:sp macro="" textlink="">
          <xdr:nvSpPr>
            <xdr:cNvPr id="1265" name="Check Box 241" descr="Onay Kutusu" hidden="1">
              <a:extLst>
                <a:ext uri="{63B3BB69-23CF-44E3-9099-C40C66FF867C}">
                  <a14:compatExt spid="_x0000_s1265"/>
                </a:ext>
                <a:ext uri="{FF2B5EF4-FFF2-40B4-BE49-F238E27FC236}">
                  <a16:creationId xmlns:a16="http://schemas.microsoft.com/office/drawing/2014/main" id="{00000000-0008-0000-0000-0000F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27</xdr:row>
          <xdr:rowOff>200025</xdr:rowOff>
        </xdr:from>
        <xdr:to>
          <xdr:col>3</xdr:col>
          <xdr:colOff>638175</xdr:colOff>
          <xdr:row>28</xdr:row>
          <xdr:rowOff>200025</xdr:rowOff>
        </xdr:to>
        <xdr:sp macro="" textlink="">
          <xdr:nvSpPr>
            <xdr:cNvPr id="1266" name="Check Box 242" descr="Onay Kutusu" hidden="1">
              <a:extLst>
                <a:ext uri="{63B3BB69-23CF-44E3-9099-C40C66FF867C}">
                  <a14:compatExt spid="_x0000_s1266"/>
                </a:ext>
                <a:ext uri="{FF2B5EF4-FFF2-40B4-BE49-F238E27FC236}">
                  <a16:creationId xmlns:a16="http://schemas.microsoft.com/office/drawing/2014/main" id="{00000000-0008-0000-0000-0000F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27</xdr:row>
          <xdr:rowOff>200025</xdr:rowOff>
        </xdr:from>
        <xdr:to>
          <xdr:col>3</xdr:col>
          <xdr:colOff>638175</xdr:colOff>
          <xdr:row>28</xdr:row>
          <xdr:rowOff>200025</xdr:rowOff>
        </xdr:to>
        <xdr:sp macro="" textlink="">
          <xdr:nvSpPr>
            <xdr:cNvPr id="1267" name="Check Box 243" descr="Onay Kutusu" hidden="1">
              <a:extLst>
                <a:ext uri="{63B3BB69-23CF-44E3-9099-C40C66FF867C}">
                  <a14:compatExt spid="_x0000_s1267"/>
                </a:ext>
                <a:ext uri="{FF2B5EF4-FFF2-40B4-BE49-F238E27FC236}">
                  <a16:creationId xmlns:a16="http://schemas.microsoft.com/office/drawing/2014/main" id="{00000000-0008-0000-0000-0000F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28</xdr:row>
          <xdr:rowOff>200025</xdr:rowOff>
        </xdr:from>
        <xdr:to>
          <xdr:col>3</xdr:col>
          <xdr:colOff>638175</xdr:colOff>
          <xdr:row>29</xdr:row>
          <xdr:rowOff>200025</xdr:rowOff>
        </xdr:to>
        <xdr:sp macro="" textlink="">
          <xdr:nvSpPr>
            <xdr:cNvPr id="1268" name="Check Box 244" descr="Onay Kutusu" hidden="1">
              <a:extLst>
                <a:ext uri="{63B3BB69-23CF-44E3-9099-C40C66FF867C}">
                  <a14:compatExt spid="_x0000_s1268"/>
                </a:ext>
                <a:ext uri="{FF2B5EF4-FFF2-40B4-BE49-F238E27FC236}">
                  <a16:creationId xmlns:a16="http://schemas.microsoft.com/office/drawing/2014/main" id="{00000000-0008-0000-0000-0000F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28</xdr:row>
          <xdr:rowOff>200025</xdr:rowOff>
        </xdr:from>
        <xdr:to>
          <xdr:col>3</xdr:col>
          <xdr:colOff>638175</xdr:colOff>
          <xdr:row>29</xdr:row>
          <xdr:rowOff>200025</xdr:rowOff>
        </xdr:to>
        <xdr:sp macro="" textlink="">
          <xdr:nvSpPr>
            <xdr:cNvPr id="1269" name="Check Box 245" descr="Onay Kutusu" hidden="1">
              <a:extLst>
                <a:ext uri="{63B3BB69-23CF-44E3-9099-C40C66FF867C}">
                  <a14:compatExt spid="_x0000_s1269"/>
                </a:ext>
                <a:ext uri="{FF2B5EF4-FFF2-40B4-BE49-F238E27FC236}">
                  <a16:creationId xmlns:a16="http://schemas.microsoft.com/office/drawing/2014/main" id="{00000000-0008-0000-0000-0000F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29</xdr:row>
          <xdr:rowOff>200025</xdr:rowOff>
        </xdr:from>
        <xdr:to>
          <xdr:col>3</xdr:col>
          <xdr:colOff>638175</xdr:colOff>
          <xdr:row>30</xdr:row>
          <xdr:rowOff>200025</xdr:rowOff>
        </xdr:to>
        <xdr:sp macro="" textlink="">
          <xdr:nvSpPr>
            <xdr:cNvPr id="1270" name="Check Box 246" descr="Onay Kutusu" hidden="1">
              <a:extLst>
                <a:ext uri="{63B3BB69-23CF-44E3-9099-C40C66FF867C}">
                  <a14:compatExt spid="_x0000_s1270"/>
                </a:ext>
                <a:ext uri="{FF2B5EF4-FFF2-40B4-BE49-F238E27FC236}">
                  <a16:creationId xmlns:a16="http://schemas.microsoft.com/office/drawing/2014/main" id="{00000000-0008-0000-0000-0000F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29</xdr:row>
          <xdr:rowOff>200025</xdr:rowOff>
        </xdr:from>
        <xdr:to>
          <xdr:col>3</xdr:col>
          <xdr:colOff>638175</xdr:colOff>
          <xdr:row>30</xdr:row>
          <xdr:rowOff>200025</xdr:rowOff>
        </xdr:to>
        <xdr:sp macro="" textlink="">
          <xdr:nvSpPr>
            <xdr:cNvPr id="1271" name="Check Box 247" descr="Onay Kutusu" hidden="1">
              <a:extLst>
                <a:ext uri="{63B3BB69-23CF-44E3-9099-C40C66FF867C}">
                  <a14:compatExt spid="_x0000_s1271"/>
                </a:ext>
                <a:ext uri="{FF2B5EF4-FFF2-40B4-BE49-F238E27FC236}">
                  <a16:creationId xmlns:a16="http://schemas.microsoft.com/office/drawing/2014/main" id="{00000000-0008-0000-0000-0000F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30</xdr:row>
          <xdr:rowOff>200025</xdr:rowOff>
        </xdr:from>
        <xdr:to>
          <xdr:col>3</xdr:col>
          <xdr:colOff>638175</xdr:colOff>
          <xdr:row>31</xdr:row>
          <xdr:rowOff>200025</xdr:rowOff>
        </xdr:to>
        <xdr:sp macro="" textlink="">
          <xdr:nvSpPr>
            <xdr:cNvPr id="1272" name="Check Box 248" descr="Onay Kutusu" hidden="1">
              <a:extLst>
                <a:ext uri="{63B3BB69-23CF-44E3-9099-C40C66FF867C}">
                  <a14:compatExt spid="_x0000_s1272"/>
                </a:ext>
                <a:ext uri="{FF2B5EF4-FFF2-40B4-BE49-F238E27FC236}">
                  <a16:creationId xmlns:a16="http://schemas.microsoft.com/office/drawing/2014/main" id="{00000000-0008-0000-0000-0000F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30</xdr:row>
          <xdr:rowOff>200025</xdr:rowOff>
        </xdr:from>
        <xdr:to>
          <xdr:col>3</xdr:col>
          <xdr:colOff>638175</xdr:colOff>
          <xdr:row>31</xdr:row>
          <xdr:rowOff>200025</xdr:rowOff>
        </xdr:to>
        <xdr:sp macro="" textlink="">
          <xdr:nvSpPr>
            <xdr:cNvPr id="1273" name="Check Box 249" descr="Onay Kutusu" hidden="1">
              <a:extLst>
                <a:ext uri="{63B3BB69-23CF-44E3-9099-C40C66FF867C}">
                  <a14:compatExt spid="_x0000_s1273"/>
                </a:ext>
                <a:ext uri="{FF2B5EF4-FFF2-40B4-BE49-F238E27FC236}">
                  <a16:creationId xmlns:a16="http://schemas.microsoft.com/office/drawing/2014/main" id="{00000000-0008-0000-00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43</xdr:row>
          <xdr:rowOff>200025</xdr:rowOff>
        </xdr:from>
        <xdr:to>
          <xdr:col>3</xdr:col>
          <xdr:colOff>638175</xdr:colOff>
          <xdr:row>44</xdr:row>
          <xdr:rowOff>200025</xdr:rowOff>
        </xdr:to>
        <xdr:sp macro="" textlink="">
          <xdr:nvSpPr>
            <xdr:cNvPr id="1274" name="Check Box 250" descr="Onay Kutusu" hidden="1">
              <a:extLst>
                <a:ext uri="{63B3BB69-23CF-44E3-9099-C40C66FF867C}">
                  <a14:compatExt spid="_x0000_s1274"/>
                </a:ext>
                <a:ext uri="{FF2B5EF4-FFF2-40B4-BE49-F238E27FC236}">
                  <a16:creationId xmlns:a16="http://schemas.microsoft.com/office/drawing/2014/main" id="{00000000-0008-0000-0000-0000F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43</xdr:row>
          <xdr:rowOff>200025</xdr:rowOff>
        </xdr:from>
        <xdr:to>
          <xdr:col>3</xdr:col>
          <xdr:colOff>638175</xdr:colOff>
          <xdr:row>44</xdr:row>
          <xdr:rowOff>200025</xdr:rowOff>
        </xdr:to>
        <xdr:sp macro="" textlink="">
          <xdr:nvSpPr>
            <xdr:cNvPr id="1275" name="Check Box 251" descr="Onay Kutusu" hidden="1">
              <a:extLst>
                <a:ext uri="{63B3BB69-23CF-44E3-9099-C40C66FF867C}">
                  <a14:compatExt spid="_x0000_s1275"/>
                </a:ext>
                <a:ext uri="{FF2B5EF4-FFF2-40B4-BE49-F238E27FC236}">
                  <a16:creationId xmlns:a16="http://schemas.microsoft.com/office/drawing/2014/main" id="{00000000-0008-0000-0000-0000F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44</xdr:row>
          <xdr:rowOff>200025</xdr:rowOff>
        </xdr:from>
        <xdr:to>
          <xdr:col>3</xdr:col>
          <xdr:colOff>638175</xdr:colOff>
          <xdr:row>45</xdr:row>
          <xdr:rowOff>200025</xdr:rowOff>
        </xdr:to>
        <xdr:sp macro="" textlink="">
          <xdr:nvSpPr>
            <xdr:cNvPr id="1276" name="Check Box 252" descr="Onay Kutusu" hidden="1">
              <a:extLst>
                <a:ext uri="{63B3BB69-23CF-44E3-9099-C40C66FF867C}">
                  <a14:compatExt spid="_x0000_s1276"/>
                </a:ext>
                <a:ext uri="{FF2B5EF4-FFF2-40B4-BE49-F238E27FC236}">
                  <a16:creationId xmlns:a16="http://schemas.microsoft.com/office/drawing/2014/main" id="{00000000-0008-0000-00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44</xdr:row>
          <xdr:rowOff>200025</xdr:rowOff>
        </xdr:from>
        <xdr:to>
          <xdr:col>3</xdr:col>
          <xdr:colOff>638175</xdr:colOff>
          <xdr:row>45</xdr:row>
          <xdr:rowOff>200025</xdr:rowOff>
        </xdr:to>
        <xdr:sp macro="" textlink="">
          <xdr:nvSpPr>
            <xdr:cNvPr id="1277" name="Check Box 253" descr="Onay Kutusu" hidden="1">
              <a:extLst>
                <a:ext uri="{63B3BB69-23CF-44E3-9099-C40C66FF867C}">
                  <a14:compatExt spid="_x0000_s1277"/>
                </a:ext>
                <a:ext uri="{FF2B5EF4-FFF2-40B4-BE49-F238E27FC236}">
                  <a16:creationId xmlns:a16="http://schemas.microsoft.com/office/drawing/2014/main" id="{00000000-0008-0000-00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45</xdr:row>
          <xdr:rowOff>200025</xdr:rowOff>
        </xdr:from>
        <xdr:to>
          <xdr:col>3</xdr:col>
          <xdr:colOff>638175</xdr:colOff>
          <xdr:row>46</xdr:row>
          <xdr:rowOff>200025</xdr:rowOff>
        </xdr:to>
        <xdr:sp macro="" textlink="">
          <xdr:nvSpPr>
            <xdr:cNvPr id="1278" name="Check Box 254" descr="Onay Kutusu" hidden="1">
              <a:extLst>
                <a:ext uri="{63B3BB69-23CF-44E3-9099-C40C66FF867C}">
                  <a14:compatExt spid="_x0000_s1278"/>
                </a:ext>
                <a:ext uri="{FF2B5EF4-FFF2-40B4-BE49-F238E27FC236}">
                  <a16:creationId xmlns:a16="http://schemas.microsoft.com/office/drawing/2014/main" id="{00000000-0008-0000-0000-0000F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45</xdr:row>
          <xdr:rowOff>200025</xdr:rowOff>
        </xdr:from>
        <xdr:to>
          <xdr:col>3</xdr:col>
          <xdr:colOff>638175</xdr:colOff>
          <xdr:row>46</xdr:row>
          <xdr:rowOff>200025</xdr:rowOff>
        </xdr:to>
        <xdr:sp macro="" textlink="">
          <xdr:nvSpPr>
            <xdr:cNvPr id="1279" name="Check Box 255" descr="Onay Kutusu" hidden="1">
              <a:extLst>
                <a:ext uri="{63B3BB69-23CF-44E3-9099-C40C66FF867C}">
                  <a14:compatExt spid="_x0000_s1279"/>
                </a:ext>
                <a:ext uri="{FF2B5EF4-FFF2-40B4-BE49-F238E27FC236}">
                  <a16:creationId xmlns:a16="http://schemas.microsoft.com/office/drawing/2014/main" id="{00000000-0008-0000-0000-0000F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46</xdr:row>
          <xdr:rowOff>200025</xdr:rowOff>
        </xdr:from>
        <xdr:to>
          <xdr:col>3</xdr:col>
          <xdr:colOff>638175</xdr:colOff>
          <xdr:row>47</xdr:row>
          <xdr:rowOff>200025</xdr:rowOff>
        </xdr:to>
        <xdr:sp macro="" textlink="">
          <xdr:nvSpPr>
            <xdr:cNvPr id="1280" name="Check Box 256" descr="Onay Kutusu" hidden="1">
              <a:extLst>
                <a:ext uri="{63B3BB69-23CF-44E3-9099-C40C66FF867C}">
                  <a14:compatExt spid="_x0000_s1280"/>
                </a:ext>
                <a:ext uri="{FF2B5EF4-FFF2-40B4-BE49-F238E27FC236}">
                  <a16:creationId xmlns:a16="http://schemas.microsoft.com/office/drawing/2014/main" id="{00000000-0008-0000-0000-00000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46</xdr:row>
          <xdr:rowOff>200025</xdr:rowOff>
        </xdr:from>
        <xdr:to>
          <xdr:col>3</xdr:col>
          <xdr:colOff>638175</xdr:colOff>
          <xdr:row>47</xdr:row>
          <xdr:rowOff>200025</xdr:rowOff>
        </xdr:to>
        <xdr:sp macro="" textlink="">
          <xdr:nvSpPr>
            <xdr:cNvPr id="1281" name="Check Box 257" descr="Onay Kutusu" hidden="1">
              <a:extLst>
                <a:ext uri="{63B3BB69-23CF-44E3-9099-C40C66FF867C}">
                  <a14:compatExt spid="_x0000_s1281"/>
                </a:ext>
                <a:ext uri="{FF2B5EF4-FFF2-40B4-BE49-F238E27FC236}">
                  <a16:creationId xmlns:a16="http://schemas.microsoft.com/office/drawing/2014/main" id="{00000000-0008-0000-0000-00000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47</xdr:row>
          <xdr:rowOff>200025</xdr:rowOff>
        </xdr:from>
        <xdr:to>
          <xdr:col>3</xdr:col>
          <xdr:colOff>638175</xdr:colOff>
          <xdr:row>48</xdr:row>
          <xdr:rowOff>200025</xdr:rowOff>
        </xdr:to>
        <xdr:sp macro="" textlink="">
          <xdr:nvSpPr>
            <xdr:cNvPr id="1282" name="Check Box 258" descr="Onay Kutusu" hidden="1">
              <a:extLst>
                <a:ext uri="{63B3BB69-23CF-44E3-9099-C40C66FF867C}">
                  <a14:compatExt spid="_x0000_s1282"/>
                </a:ext>
                <a:ext uri="{FF2B5EF4-FFF2-40B4-BE49-F238E27FC236}">
                  <a16:creationId xmlns:a16="http://schemas.microsoft.com/office/drawing/2014/main" id="{00000000-0008-0000-0000-00000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47</xdr:row>
          <xdr:rowOff>200025</xdr:rowOff>
        </xdr:from>
        <xdr:to>
          <xdr:col>3</xdr:col>
          <xdr:colOff>638175</xdr:colOff>
          <xdr:row>48</xdr:row>
          <xdr:rowOff>200025</xdr:rowOff>
        </xdr:to>
        <xdr:sp macro="" textlink="">
          <xdr:nvSpPr>
            <xdr:cNvPr id="1283" name="Check Box 259" descr="Onay Kutusu" hidden="1">
              <a:extLst>
                <a:ext uri="{63B3BB69-23CF-44E3-9099-C40C66FF867C}">
                  <a14:compatExt spid="_x0000_s1283"/>
                </a:ext>
                <a:ext uri="{FF2B5EF4-FFF2-40B4-BE49-F238E27FC236}">
                  <a16:creationId xmlns:a16="http://schemas.microsoft.com/office/drawing/2014/main" id="{00000000-0008-0000-0000-00000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48</xdr:row>
          <xdr:rowOff>200025</xdr:rowOff>
        </xdr:from>
        <xdr:to>
          <xdr:col>3</xdr:col>
          <xdr:colOff>638175</xdr:colOff>
          <xdr:row>49</xdr:row>
          <xdr:rowOff>200025</xdr:rowOff>
        </xdr:to>
        <xdr:sp macro="" textlink="">
          <xdr:nvSpPr>
            <xdr:cNvPr id="1284" name="Check Box 260" descr="Onay Kutusu" hidden="1">
              <a:extLst>
                <a:ext uri="{63B3BB69-23CF-44E3-9099-C40C66FF867C}">
                  <a14:compatExt spid="_x0000_s1284"/>
                </a:ext>
                <a:ext uri="{FF2B5EF4-FFF2-40B4-BE49-F238E27FC236}">
                  <a16:creationId xmlns:a16="http://schemas.microsoft.com/office/drawing/2014/main" id="{00000000-0008-0000-0000-00000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48</xdr:row>
          <xdr:rowOff>200025</xdr:rowOff>
        </xdr:from>
        <xdr:to>
          <xdr:col>3</xdr:col>
          <xdr:colOff>638175</xdr:colOff>
          <xdr:row>49</xdr:row>
          <xdr:rowOff>200025</xdr:rowOff>
        </xdr:to>
        <xdr:sp macro="" textlink="">
          <xdr:nvSpPr>
            <xdr:cNvPr id="1285" name="Check Box 261" descr="Onay Kutusu" hidden="1">
              <a:extLst>
                <a:ext uri="{63B3BB69-23CF-44E3-9099-C40C66FF867C}">
                  <a14:compatExt spid="_x0000_s1285"/>
                </a:ext>
                <a:ext uri="{FF2B5EF4-FFF2-40B4-BE49-F238E27FC236}">
                  <a16:creationId xmlns:a16="http://schemas.microsoft.com/office/drawing/2014/main" id="{00000000-0008-0000-0000-00000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49</xdr:row>
          <xdr:rowOff>200025</xdr:rowOff>
        </xdr:from>
        <xdr:to>
          <xdr:col>3</xdr:col>
          <xdr:colOff>638175</xdr:colOff>
          <xdr:row>50</xdr:row>
          <xdr:rowOff>200025</xdr:rowOff>
        </xdr:to>
        <xdr:sp macro="" textlink="">
          <xdr:nvSpPr>
            <xdr:cNvPr id="1286" name="Check Box 262" descr="Onay Kutusu" hidden="1">
              <a:extLst>
                <a:ext uri="{63B3BB69-23CF-44E3-9099-C40C66FF867C}">
                  <a14:compatExt spid="_x0000_s1286"/>
                </a:ext>
                <a:ext uri="{FF2B5EF4-FFF2-40B4-BE49-F238E27FC236}">
                  <a16:creationId xmlns:a16="http://schemas.microsoft.com/office/drawing/2014/main" id="{00000000-0008-0000-0000-00000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49</xdr:row>
          <xdr:rowOff>200025</xdr:rowOff>
        </xdr:from>
        <xdr:to>
          <xdr:col>3</xdr:col>
          <xdr:colOff>638175</xdr:colOff>
          <xdr:row>50</xdr:row>
          <xdr:rowOff>200025</xdr:rowOff>
        </xdr:to>
        <xdr:sp macro="" textlink="">
          <xdr:nvSpPr>
            <xdr:cNvPr id="1287" name="Check Box 263" descr="Onay Kutusu" hidden="1">
              <a:extLst>
                <a:ext uri="{63B3BB69-23CF-44E3-9099-C40C66FF867C}">
                  <a14:compatExt spid="_x0000_s1287"/>
                </a:ext>
                <a:ext uri="{FF2B5EF4-FFF2-40B4-BE49-F238E27FC236}">
                  <a16:creationId xmlns:a16="http://schemas.microsoft.com/office/drawing/2014/main" id="{00000000-0008-0000-0000-00000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50</xdr:row>
          <xdr:rowOff>200025</xdr:rowOff>
        </xdr:from>
        <xdr:to>
          <xdr:col>3</xdr:col>
          <xdr:colOff>638175</xdr:colOff>
          <xdr:row>51</xdr:row>
          <xdr:rowOff>200025</xdr:rowOff>
        </xdr:to>
        <xdr:sp macro="" textlink="">
          <xdr:nvSpPr>
            <xdr:cNvPr id="1288" name="Check Box 264" descr="Onay Kutusu" hidden="1">
              <a:extLst>
                <a:ext uri="{63B3BB69-23CF-44E3-9099-C40C66FF867C}">
                  <a14:compatExt spid="_x0000_s1288"/>
                </a:ext>
                <a:ext uri="{FF2B5EF4-FFF2-40B4-BE49-F238E27FC236}">
                  <a16:creationId xmlns:a16="http://schemas.microsoft.com/office/drawing/2014/main" id="{00000000-0008-0000-0000-00000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50</xdr:row>
          <xdr:rowOff>200025</xdr:rowOff>
        </xdr:from>
        <xdr:to>
          <xdr:col>3</xdr:col>
          <xdr:colOff>638175</xdr:colOff>
          <xdr:row>51</xdr:row>
          <xdr:rowOff>200025</xdr:rowOff>
        </xdr:to>
        <xdr:sp macro="" textlink="">
          <xdr:nvSpPr>
            <xdr:cNvPr id="1289" name="Check Box 265" descr="Onay Kutusu" hidden="1">
              <a:extLst>
                <a:ext uri="{63B3BB69-23CF-44E3-9099-C40C66FF867C}">
                  <a14:compatExt spid="_x0000_s1289"/>
                </a:ext>
                <a:ext uri="{FF2B5EF4-FFF2-40B4-BE49-F238E27FC236}">
                  <a16:creationId xmlns:a16="http://schemas.microsoft.com/office/drawing/2014/main" id="{00000000-0008-0000-0000-00000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51</xdr:row>
          <xdr:rowOff>200025</xdr:rowOff>
        </xdr:from>
        <xdr:to>
          <xdr:col>3</xdr:col>
          <xdr:colOff>638175</xdr:colOff>
          <xdr:row>52</xdr:row>
          <xdr:rowOff>200025</xdr:rowOff>
        </xdr:to>
        <xdr:sp macro="" textlink="">
          <xdr:nvSpPr>
            <xdr:cNvPr id="1290" name="Check Box 266" descr="Onay Kutusu" hidden="1">
              <a:extLst>
                <a:ext uri="{63B3BB69-23CF-44E3-9099-C40C66FF867C}">
                  <a14:compatExt spid="_x0000_s1290"/>
                </a:ext>
                <a:ext uri="{FF2B5EF4-FFF2-40B4-BE49-F238E27FC236}">
                  <a16:creationId xmlns:a16="http://schemas.microsoft.com/office/drawing/2014/main" id="{00000000-0008-0000-0000-00000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51</xdr:row>
          <xdr:rowOff>200025</xdr:rowOff>
        </xdr:from>
        <xdr:to>
          <xdr:col>3</xdr:col>
          <xdr:colOff>638175</xdr:colOff>
          <xdr:row>52</xdr:row>
          <xdr:rowOff>200025</xdr:rowOff>
        </xdr:to>
        <xdr:sp macro="" textlink="">
          <xdr:nvSpPr>
            <xdr:cNvPr id="1291" name="Check Box 267" descr="Onay Kutusu" hidden="1">
              <a:extLst>
                <a:ext uri="{63B3BB69-23CF-44E3-9099-C40C66FF867C}">
                  <a14:compatExt spid="_x0000_s1291"/>
                </a:ext>
                <a:ext uri="{FF2B5EF4-FFF2-40B4-BE49-F238E27FC236}">
                  <a16:creationId xmlns:a16="http://schemas.microsoft.com/office/drawing/2014/main" id="{00000000-0008-0000-0000-00000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52</xdr:row>
          <xdr:rowOff>200025</xdr:rowOff>
        </xdr:from>
        <xdr:to>
          <xdr:col>3</xdr:col>
          <xdr:colOff>638175</xdr:colOff>
          <xdr:row>53</xdr:row>
          <xdr:rowOff>200025</xdr:rowOff>
        </xdr:to>
        <xdr:sp macro="" textlink="">
          <xdr:nvSpPr>
            <xdr:cNvPr id="1292" name="Check Box 268" descr="Onay Kutusu" hidden="1">
              <a:extLst>
                <a:ext uri="{63B3BB69-23CF-44E3-9099-C40C66FF867C}">
                  <a14:compatExt spid="_x0000_s1292"/>
                </a:ext>
                <a:ext uri="{FF2B5EF4-FFF2-40B4-BE49-F238E27FC236}">
                  <a16:creationId xmlns:a16="http://schemas.microsoft.com/office/drawing/2014/main" id="{00000000-0008-0000-0000-00000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52</xdr:row>
          <xdr:rowOff>200025</xdr:rowOff>
        </xdr:from>
        <xdr:to>
          <xdr:col>3</xdr:col>
          <xdr:colOff>638175</xdr:colOff>
          <xdr:row>53</xdr:row>
          <xdr:rowOff>200025</xdr:rowOff>
        </xdr:to>
        <xdr:sp macro="" textlink="">
          <xdr:nvSpPr>
            <xdr:cNvPr id="1293" name="Check Box 269" descr="Onay Kutusu" hidden="1">
              <a:extLst>
                <a:ext uri="{63B3BB69-23CF-44E3-9099-C40C66FF867C}">
                  <a14:compatExt spid="_x0000_s1293"/>
                </a:ext>
                <a:ext uri="{FF2B5EF4-FFF2-40B4-BE49-F238E27FC236}">
                  <a16:creationId xmlns:a16="http://schemas.microsoft.com/office/drawing/2014/main" id="{00000000-0008-0000-0000-00000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53</xdr:row>
          <xdr:rowOff>200025</xdr:rowOff>
        </xdr:from>
        <xdr:to>
          <xdr:col>3</xdr:col>
          <xdr:colOff>638175</xdr:colOff>
          <xdr:row>54</xdr:row>
          <xdr:rowOff>200025</xdr:rowOff>
        </xdr:to>
        <xdr:sp macro="" textlink="">
          <xdr:nvSpPr>
            <xdr:cNvPr id="1294" name="Check Box 270" descr="Onay Kutusu" hidden="1">
              <a:extLst>
                <a:ext uri="{63B3BB69-23CF-44E3-9099-C40C66FF867C}">
                  <a14:compatExt spid="_x0000_s1294"/>
                </a:ext>
                <a:ext uri="{FF2B5EF4-FFF2-40B4-BE49-F238E27FC236}">
                  <a16:creationId xmlns:a16="http://schemas.microsoft.com/office/drawing/2014/main" id="{00000000-0008-0000-0000-00000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53</xdr:row>
          <xdr:rowOff>200025</xdr:rowOff>
        </xdr:from>
        <xdr:to>
          <xdr:col>3</xdr:col>
          <xdr:colOff>638175</xdr:colOff>
          <xdr:row>54</xdr:row>
          <xdr:rowOff>200025</xdr:rowOff>
        </xdr:to>
        <xdr:sp macro="" textlink="">
          <xdr:nvSpPr>
            <xdr:cNvPr id="1295" name="Check Box 271" descr="Onay Kutusu" hidden="1">
              <a:extLst>
                <a:ext uri="{63B3BB69-23CF-44E3-9099-C40C66FF867C}">
                  <a14:compatExt spid="_x0000_s1295"/>
                </a:ext>
                <a:ext uri="{FF2B5EF4-FFF2-40B4-BE49-F238E27FC236}">
                  <a16:creationId xmlns:a16="http://schemas.microsoft.com/office/drawing/2014/main" id="{00000000-0008-0000-0000-00000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54</xdr:row>
          <xdr:rowOff>200025</xdr:rowOff>
        </xdr:from>
        <xdr:to>
          <xdr:col>3</xdr:col>
          <xdr:colOff>638175</xdr:colOff>
          <xdr:row>55</xdr:row>
          <xdr:rowOff>200025</xdr:rowOff>
        </xdr:to>
        <xdr:sp macro="" textlink="">
          <xdr:nvSpPr>
            <xdr:cNvPr id="1296" name="Check Box 272" descr="Onay Kutusu" hidden="1">
              <a:extLst>
                <a:ext uri="{63B3BB69-23CF-44E3-9099-C40C66FF867C}">
                  <a14:compatExt spid="_x0000_s1296"/>
                </a:ext>
                <a:ext uri="{FF2B5EF4-FFF2-40B4-BE49-F238E27FC236}">
                  <a16:creationId xmlns:a16="http://schemas.microsoft.com/office/drawing/2014/main" id="{00000000-0008-0000-0000-00001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54</xdr:row>
          <xdr:rowOff>200025</xdr:rowOff>
        </xdr:from>
        <xdr:to>
          <xdr:col>3</xdr:col>
          <xdr:colOff>638175</xdr:colOff>
          <xdr:row>55</xdr:row>
          <xdr:rowOff>200025</xdr:rowOff>
        </xdr:to>
        <xdr:sp macro="" textlink="">
          <xdr:nvSpPr>
            <xdr:cNvPr id="1297" name="Check Box 273" descr="Onay Kutusu" hidden="1">
              <a:extLst>
                <a:ext uri="{63B3BB69-23CF-44E3-9099-C40C66FF867C}">
                  <a14:compatExt spid="_x0000_s1297"/>
                </a:ext>
                <a:ext uri="{FF2B5EF4-FFF2-40B4-BE49-F238E27FC236}">
                  <a16:creationId xmlns:a16="http://schemas.microsoft.com/office/drawing/2014/main" id="{00000000-0008-0000-0000-00001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55</xdr:row>
          <xdr:rowOff>200025</xdr:rowOff>
        </xdr:from>
        <xdr:to>
          <xdr:col>3</xdr:col>
          <xdr:colOff>638175</xdr:colOff>
          <xdr:row>56</xdr:row>
          <xdr:rowOff>200025</xdr:rowOff>
        </xdr:to>
        <xdr:sp macro="" textlink="">
          <xdr:nvSpPr>
            <xdr:cNvPr id="1298" name="Check Box 274" descr="Onay Kutusu" hidden="1">
              <a:extLst>
                <a:ext uri="{63B3BB69-23CF-44E3-9099-C40C66FF867C}">
                  <a14:compatExt spid="_x0000_s1298"/>
                </a:ext>
                <a:ext uri="{FF2B5EF4-FFF2-40B4-BE49-F238E27FC236}">
                  <a16:creationId xmlns:a16="http://schemas.microsoft.com/office/drawing/2014/main" id="{00000000-0008-0000-0000-00001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55</xdr:row>
          <xdr:rowOff>200025</xdr:rowOff>
        </xdr:from>
        <xdr:to>
          <xdr:col>3</xdr:col>
          <xdr:colOff>638175</xdr:colOff>
          <xdr:row>56</xdr:row>
          <xdr:rowOff>200025</xdr:rowOff>
        </xdr:to>
        <xdr:sp macro="" textlink="">
          <xdr:nvSpPr>
            <xdr:cNvPr id="1299" name="Check Box 275" descr="Onay Kutusu" hidden="1">
              <a:extLst>
                <a:ext uri="{63B3BB69-23CF-44E3-9099-C40C66FF867C}">
                  <a14:compatExt spid="_x0000_s1299"/>
                </a:ext>
                <a:ext uri="{FF2B5EF4-FFF2-40B4-BE49-F238E27FC236}">
                  <a16:creationId xmlns:a16="http://schemas.microsoft.com/office/drawing/2014/main" id="{00000000-0008-0000-00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56</xdr:row>
          <xdr:rowOff>200025</xdr:rowOff>
        </xdr:from>
        <xdr:to>
          <xdr:col>3</xdr:col>
          <xdr:colOff>638175</xdr:colOff>
          <xdr:row>57</xdr:row>
          <xdr:rowOff>200025</xdr:rowOff>
        </xdr:to>
        <xdr:sp macro="" textlink="">
          <xdr:nvSpPr>
            <xdr:cNvPr id="1300" name="Check Box 276" descr="Onay Kutusu" hidden="1">
              <a:extLst>
                <a:ext uri="{63B3BB69-23CF-44E3-9099-C40C66FF867C}">
                  <a14:compatExt spid="_x0000_s1300"/>
                </a:ext>
                <a:ext uri="{FF2B5EF4-FFF2-40B4-BE49-F238E27FC236}">
                  <a16:creationId xmlns:a16="http://schemas.microsoft.com/office/drawing/2014/main" id="{00000000-0008-0000-0000-00001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56</xdr:row>
          <xdr:rowOff>200025</xdr:rowOff>
        </xdr:from>
        <xdr:to>
          <xdr:col>3</xdr:col>
          <xdr:colOff>638175</xdr:colOff>
          <xdr:row>57</xdr:row>
          <xdr:rowOff>200025</xdr:rowOff>
        </xdr:to>
        <xdr:sp macro="" textlink="">
          <xdr:nvSpPr>
            <xdr:cNvPr id="1301" name="Check Box 277" descr="Onay Kutusu" hidden="1">
              <a:extLst>
                <a:ext uri="{63B3BB69-23CF-44E3-9099-C40C66FF867C}">
                  <a14:compatExt spid="_x0000_s1301"/>
                </a:ext>
                <a:ext uri="{FF2B5EF4-FFF2-40B4-BE49-F238E27FC236}">
                  <a16:creationId xmlns:a16="http://schemas.microsoft.com/office/drawing/2014/main" id="{00000000-0008-0000-0000-00001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57</xdr:row>
          <xdr:rowOff>200025</xdr:rowOff>
        </xdr:from>
        <xdr:to>
          <xdr:col>3</xdr:col>
          <xdr:colOff>638175</xdr:colOff>
          <xdr:row>58</xdr:row>
          <xdr:rowOff>200025</xdr:rowOff>
        </xdr:to>
        <xdr:sp macro="" textlink="">
          <xdr:nvSpPr>
            <xdr:cNvPr id="1302" name="Check Box 278" descr="Onay Kutusu" hidden="1">
              <a:extLst>
                <a:ext uri="{63B3BB69-23CF-44E3-9099-C40C66FF867C}">
                  <a14:compatExt spid="_x0000_s1302"/>
                </a:ext>
                <a:ext uri="{FF2B5EF4-FFF2-40B4-BE49-F238E27FC236}">
                  <a16:creationId xmlns:a16="http://schemas.microsoft.com/office/drawing/2014/main" id="{00000000-0008-0000-0000-00001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57</xdr:row>
          <xdr:rowOff>200025</xdr:rowOff>
        </xdr:from>
        <xdr:to>
          <xdr:col>3</xdr:col>
          <xdr:colOff>638175</xdr:colOff>
          <xdr:row>58</xdr:row>
          <xdr:rowOff>200025</xdr:rowOff>
        </xdr:to>
        <xdr:sp macro="" textlink="">
          <xdr:nvSpPr>
            <xdr:cNvPr id="1303" name="Check Box 279" descr="Onay Kutusu" hidden="1">
              <a:extLst>
                <a:ext uri="{63B3BB69-23CF-44E3-9099-C40C66FF867C}">
                  <a14:compatExt spid="_x0000_s1303"/>
                </a:ext>
                <a:ext uri="{FF2B5EF4-FFF2-40B4-BE49-F238E27FC236}">
                  <a16:creationId xmlns:a16="http://schemas.microsoft.com/office/drawing/2014/main" id="{00000000-0008-0000-0000-00001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30</xdr:row>
          <xdr:rowOff>9525</xdr:rowOff>
        </xdr:from>
        <xdr:to>
          <xdr:col>0</xdr:col>
          <xdr:colOff>571500</xdr:colOff>
          <xdr:row>31</xdr:row>
          <xdr:rowOff>9525</xdr:rowOff>
        </xdr:to>
        <xdr:sp macro="" textlink="">
          <xdr:nvSpPr>
            <xdr:cNvPr id="1305" name="Check Box 281" descr="Onay Kutusu" hidden="1">
              <a:extLst>
                <a:ext uri="{63B3BB69-23CF-44E3-9099-C40C66FF867C}">
                  <a14:compatExt spid="_x0000_s1305"/>
                </a:ext>
                <a:ext uri="{FF2B5EF4-FFF2-40B4-BE49-F238E27FC236}">
                  <a16:creationId xmlns:a16="http://schemas.microsoft.com/office/drawing/2014/main" id="{00000000-0008-0000-0000-00001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31</xdr:row>
          <xdr:rowOff>9525</xdr:rowOff>
        </xdr:from>
        <xdr:to>
          <xdr:col>0</xdr:col>
          <xdr:colOff>571500</xdr:colOff>
          <xdr:row>32</xdr:row>
          <xdr:rowOff>9525</xdr:rowOff>
        </xdr:to>
        <xdr:sp macro="" textlink="">
          <xdr:nvSpPr>
            <xdr:cNvPr id="1306" name="Check Box 282" descr="Onay Kutusu" hidden="1">
              <a:extLst>
                <a:ext uri="{63B3BB69-23CF-44E3-9099-C40C66FF867C}">
                  <a14:compatExt spid="_x0000_s1306"/>
                </a:ext>
                <a:ext uri="{FF2B5EF4-FFF2-40B4-BE49-F238E27FC236}">
                  <a16:creationId xmlns:a16="http://schemas.microsoft.com/office/drawing/2014/main" id="{00000000-0008-0000-0000-00001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32</xdr:row>
          <xdr:rowOff>9525</xdr:rowOff>
        </xdr:from>
        <xdr:to>
          <xdr:col>0</xdr:col>
          <xdr:colOff>571500</xdr:colOff>
          <xdr:row>33</xdr:row>
          <xdr:rowOff>9525</xdr:rowOff>
        </xdr:to>
        <xdr:sp macro="" textlink="">
          <xdr:nvSpPr>
            <xdr:cNvPr id="1307" name="Check Box 283" descr="Onay Kutusu" hidden="1">
              <a:extLst>
                <a:ext uri="{63B3BB69-23CF-44E3-9099-C40C66FF867C}">
                  <a14:compatExt spid="_x0000_s1307"/>
                </a:ext>
                <a:ext uri="{FF2B5EF4-FFF2-40B4-BE49-F238E27FC236}">
                  <a16:creationId xmlns:a16="http://schemas.microsoft.com/office/drawing/2014/main" id="{00000000-0008-0000-0000-00001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30</xdr:row>
          <xdr:rowOff>200025</xdr:rowOff>
        </xdr:from>
        <xdr:to>
          <xdr:col>3</xdr:col>
          <xdr:colOff>638175</xdr:colOff>
          <xdr:row>31</xdr:row>
          <xdr:rowOff>200025</xdr:rowOff>
        </xdr:to>
        <xdr:sp macro="" textlink="">
          <xdr:nvSpPr>
            <xdr:cNvPr id="1308" name="Check Box 284" descr="Onay Kutusu" hidden="1">
              <a:extLst>
                <a:ext uri="{63B3BB69-23CF-44E3-9099-C40C66FF867C}">
                  <a14:compatExt spid="_x0000_s1308"/>
                </a:ext>
                <a:ext uri="{FF2B5EF4-FFF2-40B4-BE49-F238E27FC236}">
                  <a16:creationId xmlns:a16="http://schemas.microsoft.com/office/drawing/2014/main" id="{00000000-0008-0000-0000-00001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30</xdr:row>
          <xdr:rowOff>200025</xdr:rowOff>
        </xdr:from>
        <xdr:to>
          <xdr:col>3</xdr:col>
          <xdr:colOff>638175</xdr:colOff>
          <xdr:row>31</xdr:row>
          <xdr:rowOff>200025</xdr:rowOff>
        </xdr:to>
        <xdr:sp macro="" textlink="">
          <xdr:nvSpPr>
            <xdr:cNvPr id="1309" name="Check Box 285" descr="Onay Kutusu" hidden="1">
              <a:extLst>
                <a:ext uri="{63B3BB69-23CF-44E3-9099-C40C66FF867C}">
                  <a14:compatExt spid="_x0000_s1309"/>
                </a:ext>
                <a:ext uri="{FF2B5EF4-FFF2-40B4-BE49-F238E27FC236}">
                  <a16:creationId xmlns:a16="http://schemas.microsoft.com/office/drawing/2014/main" id="{00000000-0008-0000-0000-00001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31</xdr:row>
          <xdr:rowOff>200025</xdr:rowOff>
        </xdr:from>
        <xdr:to>
          <xdr:col>3</xdr:col>
          <xdr:colOff>638175</xdr:colOff>
          <xdr:row>32</xdr:row>
          <xdr:rowOff>200025</xdr:rowOff>
        </xdr:to>
        <xdr:sp macro="" textlink="">
          <xdr:nvSpPr>
            <xdr:cNvPr id="1310" name="Check Box 286" descr="Onay Kutusu" hidden="1">
              <a:extLst>
                <a:ext uri="{63B3BB69-23CF-44E3-9099-C40C66FF867C}">
                  <a14:compatExt spid="_x0000_s1310"/>
                </a:ext>
                <a:ext uri="{FF2B5EF4-FFF2-40B4-BE49-F238E27FC236}">
                  <a16:creationId xmlns:a16="http://schemas.microsoft.com/office/drawing/2014/main" id="{00000000-0008-0000-0000-00001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31</xdr:row>
          <xdr:rowOff>200025</xdr:rowOff>
        </xdr:from>
        <xdr:to>
          <xdr:col>3</xdr:col>
          <xdr:colOff>638175</xdr:colOff>
          <xdr:row>32</xdr:row>
          <xdr:rowOff>200025</xdr:rowOff>
        </xdr:to>
        <xdr:sp macro="" textlink="">
          <xdr:nvSpPr>
            <xdr:cNvPr id="1311" name="Check Box 287" descr="Onay Kutusu" hidden="1">
              <a:extLst>
                <a:ext uri="{63B3BB69-23CF-44E3-9099-C40C66FF867C}">
                  <a14:compatExt spid="_x0000_s1311"/>
                </a:ext>
                <a:ext uri="{FF2B5EF4-FFF2-40B4-BE49-F238E27FC236}">
                  <a16:creationId xmlns:a16="http://schemas.microsoft.com/office/drawing/2014/main" id="{00000000-0008-0000-0000-00001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32</xdr:row>
          <xdr:rowOff>200025</xdr:rowOff>
        </xdr:from>
        <xdr:to>
          <xdr:col>3</xdr:col>
          <xdr:colOff>638175</xdr:colOff>
          <xdr:row>33</xdr:row>
          <xdr:rowOff>200025</xdr:rowOff>
        </xdr:to>
        <xdr:sp macro="" textlink="">
          <xdr:nvSpPr>
            <xdr:cNvPr id="1312" name="Check Box 288" descr="Onay Kutusu" hidden="1">
              <a:extLst>
                <a:ext uri="{63B3BB69-23CF-44E3-9099-C40C66FF867C}">
                  <a14:compatExt spid="_x0000_s1312"/>
                </a:ext>
                <a:ext uri="{FF2B5EF4-FFF2-40B4-BE49-F238E27FC236}">
                  <a16:creationId xmlns:a16="http://schemas.microsoft.com/office/drawing/2014/main" id="{00000000-0008-0000-0000-00002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32</xdr:row>
          <xdr:rowOff>200025</xdr:rowOff>
        </xdr:from>
        <xdr:to>
          <xdr:col>3</xdr:col>
          <xdr:colOff>638175</xdr:colOff>
          <xdr:row>33</xdr:row>
          <xdr:rowOff>200025</xdr:rowOff>
        </xdr:to>
        <xdr:sp macro="" textlink="">
          <xdr:nvSpPr>
            <xdr:cNvPr id="1313" name="Check Box 289" descr="Onay Kutusu" hidden="1">
              <a:extLst>
                <a:ext uri="{63B3BB69-23CF-44E3-9099-C40C66FF867C}">
                  <a14:compatExt spid="_x0000_s1313"/>
                </a:ext>
                <a:ext uri="{FF2B5EF4-FFF2-40B4-BE49-F238E27FC236}">
                  <a16:creationId xmlns:a16="http://schemas.microsoft.com/office/drawing/2014/main" id="{00000000-0008-0000-0000-00002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32</xdr:row>
          <xdr:rowOff>9525</xdr:rowOff>
        </xdr:from>
        <xdr:to>
          <xdr:col>0</xdr:col>
          <xdr:colOff>571500</xdr:colOff>
          <xdr:row>33</xdr:row>
          <xdr:rowOff>9525</xdr:rowOff>
        </xdr:to>
        <xdr:sp macro="" textlink="">
          <xdr:nvSpPr>
            <xdr:cNvPr id="1314" name="Check Box 290" descr="Onay Kutusu" hidden="1">
              <a:extLst>
                <a:ext uri="{63B3BB69-23CF-44E3-9099-C40C66FF867C}">
                  <a14:compatExt spid="_x0000_s1314"/>
                </a:ext>
                <a:ext uri="{FF2B5EF4-FFF2-40B4-BE49-F238E27FC236}">
                  <a16:creationId xmlns:a16="http://schemas.microsoft.com/office/drawing/2014/main" id="{00000000-0008-0000-0000-00002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33</xdr:row>
          <xdr:rowOff>9525</xdr:rowOff>
        </xdr:from>
        <xdr:to>
          <xdr:col>0</xdr:col>
          <xdr:colOff>571500</xdr:colOff>
          <xdr:row>34</xdr:row>
          <xdr:rowOff>9525</xdr:rowOff>
        </xdr:to>
        <xdr:sp macro="" textlink="">
          <xdr:nvSpPr>
            <xdr:cNvPr id="1315" name="Check Box 291" descr="Onay Kutusu" hidden="1">
              <a:extLst>
                <a:ext uri="{63B3BB69-23CF-44E3-9099-C40C66FF867C}">
                  <a14:compatExt spid="_x0000_s1315"/>
                </a:ext>
                <a:ext uri="{FF2B5EF4-FFF2-40B4-BE49-F238E27FC236}">
                  <a16:creationId xmlns:a16="http://schemas.microsoft.com/office/drawing/2014/main" id="{00000000-0008-0000-0000-00002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34</xdr:row>
          <xdr:rowOff>9525</xdr:rowOff>
        </xdr:from>
        <xdr:to>
          <xdr:col>0</xdr:col>
          <xdr:colOff>571500</xdr:colOff>
          <xdr:row>35</xdr:row>
          <xdr:rowOff>9525</xdr:rowOff>
        </xdr:to>
        <xdr:sp macro="" textlink="">
          <xdr:nvSpPr>
            <xdr:cNvPr id="1316" name="Check Box 292" descr="Onay Kutusu" hidden="1">
              <a:extLst>
                <a:ext uri="{63B3BB69-23CF-44E3-9099-C40C66FF867C}">
                  <a14:compatExt spid="_x0000_s1316"/>
                </a:ext>
                <a:ext uri="{FF2B5EF4-FFF2-40B4-BE49-F238E27FC236}">
                  <a16:creationId xmlns:a16="http://schemas.microsoft.com/office/drawing/2014/main" id="{00000000-0008-0000-0000-00002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32</xdr:row>
          <xdr:rowOff>200025</xdr:rowOff>
        </xdr:from>
        <xdr:to>
          <xdr:col>3</xdr:col>
          <xdr:colOff>638175</xdr:colOff>
          <xdr:row>33</xdr:row>
          <xdr:rowOff>200025</xdr:rowOff>
        </xdr:to>
        <xdr:sp macro="" textlink="">
          <xdr:nvSpPr>
            <xdr:cNvPr id="1317" name="Check Box 293" descr="Onay Kutusu" hidden="1">
              <a:extLst>
                <a:ext uri="{63B3BB69-23CF-44E3-9099-C40C66FF867C}">
                  <a14:compatExt spid="_x0000_s1317"/>
                </a:ext>
                <a:ext uri="{FF2B5EF4-FFF2-40B4-BE49-F238E27FC236}">
                  <a16:creationId xmlns:a16="http://schemas.microsoft.com/office/drawing/2014/main" id="{00000000-0008-0000-0000-00002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32</xdr:row>
          <xdr:rowOff>200025</xdr:rowOff>
        </xdr:from>
        <xdr:to>
          <xdr:col>3</xdr:col>
          <xdr:colOff>638175</xdr:colOff>
          <xdr:row>33</xdr:row>
          <xdr:rowOff>200025</xdr:rowOff>
        </xdr:to>
        <xdr:sp macro="" textlink="">
          <xdr:nvSpPr>
            <xdr:cNvPr id="1318" name="Check Box 294" descr="Onay Kutusu" hidden="1">
              <a:extLst>
                <a:ext uri="{63B3BB69-23CF-44E3-9099-C40C66FF867C}">
                  <a14:compatExt spid="_x0000_s1318"/>
                </a:ext>
                <a:ext uri="{FF2B5EF4-FFF2-40B4-BE49-F238E27FC236}">
                  <a16:creationId xmlns:a16="http://schemas.microsoft.com/office/drawing/2014/main" id="{00000000-0008-0000-0000-00002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33</xdr:row>
          <xdr:rowOff>200025</xdr:rowOff>
        </xdr:from>
        <xdr:to>
          <xdr:col>3</xdr:col>
          <xdr:colOff>638175</xdr:colOff>
          <xdr:row>34</xdr:row>
          <xdr:rowOff>200025</xdr:rowOff>
        </xdr:to>
        <xdr:sp macro="" textlink="">
          <xdr:nvSpPr>
            <xdr:cNvPr id="1319" name="Check Box 295" descr="Onay Kutusu" hidden="1">
              <a:extLst>
                <a:ext uri="{63B3BB69-23CF-44E3-9099-C40C66FF867C}">
                  <a14:compatExt spid="_x0000_s1319"/>
                </a:ext>
                <a:ext uri="{FF2B5EF4-FFF2-40B4-BE49-F238E27FC236}">
                  <a16:creationId xmlns:a16="http://schemas.microsoft.com/office/drawing/2014/main" id="{00000000-0008-0000-0000-00002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33</xdr:row>
          <xdr:rowOff>200025</xdr:rowOff>
        </xdr:from>
        <xdr:to>
          <xdr:col>3</xdr:col>
          <xdr:colOff>638175</xdr:colOff>
          <xdr:row>34</xdr:row>
          <xdr:rowOff>200025</xdr:rowOff>
        </xdr:to>
        <xdr:sp macro="" textlink="">
          <xdr:nvSpPr>
            <xdr:cNvPr id="1320" name="Check Box 296" descr="Onay Kutusu" hidden="1">
              <a:extLst>
                <a:ext uri="{63B3BB69-23CF-44E3-9099-C40C66FF867C}">
                  <a14:compatExt spid="_x0000_s1320"/>
                </a:ext>
                <a:ext uri="{FF2B5EF4-FFF2-40B4-BE49-F238E27FC236}">
                  <a16:creationId xmlns:a16="http://schemas.microsoft.com/office/drawing/2014/main" id="{00000000-0008-0000-0000-00002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34</xdr:row>
          <xdr:rowOff>200025</xdr:rowOff>
        </xdr:from>
        <xdr:to>
          <xdr:col>3</xdr:col>
          <xdr:colOff>638175</xdr:colOff>
          <xdr:row>35</xdr:row>
          <xdr:rowOff>200025</xdr:rowOff>
        </xdr:to>
        <xdr:sp macro="" textlink="">
          <xdr:nvSpPr>
            <xdr:cNvPr id="1321" name="Check Box 297" descr="Onay Kutusu" hidden="1">
              <a:extLst>
                <a:ext uri="{63B3BB69-23CF-44E3-9099-C40C66FF867C}">
                  <a14:compatExt spid="_x0000_s1321"/>
                </a:ext>
                <a:ext uri="{FF2B5EF4-FFF2-40B4-BE49-F238E27FC236}">
                  <a16:creationId xmlns:a16="http://schemas.microsoft.com/office/drawing/2014/main" id="{00000000-0008-0000-0000-00002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34</xdr:row>
          <xdr:rowOff>200025</xdr:rowOff>
        </xdr:from>
        <xdr:to>
          <xdr:col>3</xdr:col>
          <xdr:colOff>638175</xdr:colOff>
          <xdr:row>35</xdr:row>
          <xdr:rowOff>200025</xdr:rowOff>
        </xdr:to>
        <xdr:sp macro="" textlink="">
          <xdr:nvSpPr>
            <xdr:cNvPr id="1322" name="Check Box 298" descr="Onay Kutusu" hidden="1">
              <a:extLst>
                <a:ext uri="{63B3BB69-23CF-44E3-9099-C40C66FF867C}">
                  <a14:compatExt spid="_x0000_s1322"/>
                </a:ext>
                <a:ext uri="{FF2B5EF4-FFF2-40B4-BE49-F238E27FC236}">
                  <a16:creationId xmlns:a16="http://schemas.microsoft.com/office/drawing/2014/main" id="{00000000-0008-0000-0000-00002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34</xdr:row>
          <xdr:rowOff>9525</xdr:rowOff>
        </xdr:from>
        <xdr:to>
          <xdr:col>0</xdr:col>
          <xdr:colOff>571500</xdr:colOff>
          <xdr:row>35</xdr:row>
          <xdr:rowOff>9525</xdr:rowOff>
        </xdr:to>
        <xdr:sp macro="" textlink="">
          <xdr:nvSpPr>
            <xdr:cNvPr id="1323" name="Check Box 299" descr="Onay Kutusu" hidden="1">
              <a:extLst>
                <a:ext uri="{63B3BB69-23CF-44E3-9099-C40C66FF867C}">
                  <a14:compatExt spid="_x0000_s1323"/>
                </a:ext>
                <a:ext uri="{FF2B5EF4-FFF2-40B4-BE49-F238E27FC236}">
                  <a16:creationId xmlns:a16="http://schemas.microsoft.com/office/drawing/2014/main" id="{00000000-0008-0000-0000-00002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34</xdr:row>
          <xdr:rowOff>200025</xdr:rowOff>
        </xdr:from>
        <xdr:to>
          <xdr:col>3</xdr:col>
          <xdr:colOff>638175</xdr:colOff>
          <xdr:row>35</xdr:row>
          <xdr:rowOff>200025</xdr:rowOff>
        </xdr:to>
        <xdr:sp macro="" textlink="">
          <xdr:nvSpPr>
            <xdr:cNvPr id="1324" name="Check Box 300" descr="Onay Kutusu" hidden="1">
              <a:extLst>
                <a:ext uri="{63B3BB69-23CF-44E3-9099-C40C66FF867C}">
                  <a14:compatExt spid="_x0000_s1324"/>
                </a:ext>
                <a:ext uri="{FF2B5EF4-FFF2-40B4-BE49-F238E27FC236}">
                  <a16:creationId xmlns:a16="http://schemas.microsoft.com/office/drawing/2014/main" id="{00000000-0008-0000-0000-00002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34</xdr:row>
          <xdr:rowOff>200025</xdr:rowOff>
        </xdr:from>
        <xdr:to>
          <xdr:col>3</xdr:col>
          <xdr:colOff>638175</xdr:colOff>
          <xdr:row>35</xdr:row>
          <xdr:rowOff>200025</xdr:rowOff>
        </xdr:to>
        <xdr:sp macro="" textlink="">
          <xdr:nvSpPr>
            <xdr:cNvPr id="1325" name="Check Box 301" descr="Onay Kutusu" hidden="1">
              <a:extLst>
                <a:ext uri="{63B3BB69-23CF-44E3-9099-C40C66FF867C}">
                  <a14:compatExt spid="_x0000_s1325"/>
                </a:ext>
                <a:ext uri="{FF2B5EF4-FFF2-40B4-BE49-F238E27FC236}">
                  <a16:creationId xmlns:a16="http://schemas.microsoft.com/office/drawing/2014/main" id="{00000000-0008-0000-0000-00002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34</xdr:row>
          <xdr:rowOff>9525</xdr:rowOff>
        </xdr:from>
        <xdr:to>
          <xdr:col>0</xdr:col>
          <xdr:colOff>571500</xdr:colOff>
          <xdr:row>35</xdr:row>
          <xdr:rowOff>9525</xdr:rowOff>
        </xdr:to>
        <xdr:sp macro="" textlink="">
          <xdr:nvSpPr>
            <xdr:cNvPr id="1326" name="Check Box 302" descr="Onay Kutusu" hidden="1">
              <a:extLst>
                <a:ext uri="{63B3BB69-23CF-44E3-9099-C40C66FF867C}">
                  <a14:compatExt spid="_x0000_s1326"/>
                </a:ext>
                <a:ext uri="{FF2B5EF4-FFF2-40B4-BE49-F238E27FC236}">
                  <a16:creationId xmlns:a16="http://schemas.microsoft.com/office/drawing/2014/main" id="{00000000-0008-0000-0000-00002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35</xdr:row>
          <xdr:rowOff>9525</xdr:rowOff>
        </xdr:from>
        <xdr:to>
          <xdr:col>0</xdr:col>
          <xdr:colOff>571500</xdr:colOff>
          <xdr:row>36</xdr:row>
          <xdr:rowOff>9525</xdr:rowOff>
        </xdr:to>
        <xdr:sp macro="" textlink="">
          <xdr:nvSpPr>
            <xdr:cNvPr id="1327" name="Check Box 303" descr="Onay Kutusu" hidden="1">
              <a:extLst>
                <a:ext uri="{63B3BB69-23CF-44E3-9099-C40C66FF867C}">
                  <a14:compatExt spid="_x0000_s1327"/>
                </a:ext>
                <a:ext uri="{FF2B5EF4-FFF2-40B4-BE49-F238E27FC236}">
                  <a16:creationId xmlns:a16="http://schemas.microsoft.com/office/drawing/2014/main" id="{00000000-0008-0000-0000-00002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36</xdr:row>
          <xdr:rowOff>9525</xdr:rowOff>
        </xdr:from>
        <xdr:to>
          <xdr:col>0</xdr:col>
          <xdr:colOff>571500</xdr:colOff>
          <xdr:row>37</xdr:row>
          <xdr:rowOff>9525</xdr:rowOff>
        </xdr:to>
        <xdr:sp macro="" textlink="">
          <xdr:nvSpPr>
            <xdr:cNvPr id="1328" name="Check Box 304" descr="Onay Kutusu" hidden="1">
              <a:extLst>
                <a:ext uri="{63B3BB69-23CF-44E3-9099-C40C66FF867C}">
                  <a14:compatExt spid="_x0000_s1328"/>
                </a:ext>
                <a:ext uri="{FF2B5EF4-FFF2-40B4-BE49-F238E27FC236}">
                  <a16:creationId xmlns:a16="http://schemas.microsoft.com/office/drawing/2014/main" id="{00000000-0008-0000-0000-00003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34</xdr:row>
          <xdr:rowOff>200025</xdr:rowOff>
        </xdr:from>
        <xdr:to>
          <xdr:col>3</xdr:col>
          <xdr:colOff>638175</xdr:colOff>
          <xdr:row>35</xdr:row>
          <xdr:rowOff>200025</xdr:rowOff>
        </xdr:to>
        <xdr:sp macro="" textlink="">
          <xdr:nvSpPr>
            <xdr:cNvPr id="1329" name="Check Box 305" descr="Onay Kutusu" hidden="1">
              <a:extLst>
                <a:ext uri="{63B3BB69-23CF-44E3-9099-C40C66FF867C}">
                  <a14:compatExt spid="_x0000_s1329"/>
                </a:ext>
                <a:ext uri="{FF2B5EF4-FFF2-40B4-BE49-F238E27FC236}">
                  <a16:creationId xmlns:a16="http://schemas.microsoft.com/office/drawing/2014/main" id="{00000000-0008-0000-0000-00003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34</xdr:row>
          <xdr:rowOff>200025</xdr:rowOff>
        </xdr:from>
        <xdr:to>
          <xdr:col>3</xdr:col>
          <xdr:colOff>638175</xdr:colOff>
          <xdr:row>35</xdr:row>
          <xdr:rowOff>200025</xdr:rowOff>
        </xdr:to>
        <xdr:sp macro="" textlink="">
          <xdr:nvSpPr>
            <xdr:cNvPr id="1330" name="Check Box 306" descr="Onay Kutusu" hidden="1">
              <a:extLst>
                <a:ext uri="{63B3BB69-23CF-44E3-9099-C40C66FF867C}">
                  <a14:compatExt spid="_x0000_s1330"/>
                </a:ext>
                <a:ext uri="{FF2B5EF4-FFF2-40B4-BE49-F238E27FC236}">
                  <a16:creationId xmlns:a16="http://schemas.microsoft.com/office/drawing/2014/main" id="{00000000-0008-0000-0000-00003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35</xdr:row>
          <xdr:rowOff>200025</xdr:rowOff>
        </xdr:from>
        <xdr:to>
          <xdr:col>3</xdr:col>
          <xdr:colOff>638175</xdr:colOff>
          <xdr:row>36</xdr:row>
          <xdr:rowOff>200025</xdr:rowOff>
        </xdr:to>
        <xdr:sp macro="" textlink="">
          <xdr:nvSpPr>
            <xdr:cNvPr id="1331" name="Check Box 307" descr="Onay Kutusu" hidden="1">
              <a:extLst>
                <a:ext uri="{63B3BB69-23CF-44E3-9099-C40C66FF867C}">
                  <a14:compatExt spid="_x0000_s1331"/>
                </a:ext>
                <a:ext uri="{FF2B5EF4-FFF2-40B4-BE49-F238E27FC236}">
                  <a16:creationId xmlns:a16="http://schemas.microsoft.com/office/drawing/2014/main" id="{00000000-0008-0000-0000-00003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35</xdr:row>
          <xdr:rowOff>200025</xdr:rowOff>
        </xdr:from>
        <xdr:to>
          <xdr:col>3</xdr:col>
          <xdr:colOff>638175</xdr:colOff>
          <xdr:row>36</xdr:row>
          <xdr:rowOff>200025</xdr:rowOff>
        </xdr:to>
        <xdr:sp macro="" textlink="">
          <xdr:nvSpPr>
            <xdr:cNvPr id="1332" name="Check Box 308" descr="Onay Kutusu" hidden="1">
              <a:extLst>
                <a:ext uri="{63B3BB69-23CF-44E3-9099-C40C66FF867C}">
                  <a14:compatExt spid="_x0000_s1332"/>
                </a:ext>
                <a:ext uri="{FF2B5EF4-FFF2-40B4-BE49-F238E27FC236}">
                  <a16:creationId xmlns:a16="http://schemas.microsoft.com/office/drawing/2014/main" id="{00000000-0008-0000-0000-00003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36</xdr:row>
          <xdr:rowOff>200025</xdr:rowOff>
        </xdr:from>
        <xdr:to>
          <xdr:col>3</xdr:col>
          <xdr:colOff>638175</xdr:colOff>
          <xdr:row>37</xdr:row>
          <xdr:rowOff>200025</xdr:rowOff>
        </xdr:to>
        <xdr:sp macro="" textlink="">
          <xdr:nvSpPr>
            <xdr:cNvPr id="1333" name="Check Box 309" descr="Onay Kutusu" hidden="1">
              <a:extLst>
                <a:ext uri="{63B3BB69-23CF-44E3-9099-C40C66FF867C}">
                  <a14:compatExt spid="_x0000_s1333"/>
                </a:ext>
                <a:ext uri="{FF2B5EF4-FFF2-40B4-BE49-F238E27FC236}">
                  <a16:creationId xmlns:a16="http://schemas.microsoft.com/office/drawing/2014/main" id="{00000000-0008-0000-0000-00003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36</xdr:row>
          <xdr:rowOff>200025</xdr:rowOff>
        </xdr:from>
        <xdr:to>
          <xdr:col>3</xdr:col>
          <xdr:colOff>638175</xdr:colOff>
          <xdr:row>37</xdr:row>
          <xdr:rowOff>200025</xdr:rowOff>
        </xdr:to>
        <xdr:sp macro="" textlink="">
          <xdr:nvSpPr>
            <xdr:cNvPr id="1334" name="Check Box 310" descr="Onay Kutusu" hidden="1">
              <a:extLst>
                <a:ext uri="{63B3BB69-23CF-44E3-9099-C40C66FF867C}">
                  <a14:compatExt spid="_x0000_s1334"/>
                </a:ext>
                <a:ext uri="{FF2B5EF4-FFF2-40B4-BE49-F238E27FC236}">
                  <a16:creationId xmlns:a16="http://schemas.microsoft.com/office/drawing/2014/main" id="{00000000-0008-0000-0000-00003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36</xdr:row>
          <xdr:rowOff>9525</xdr:rowOff>
        </xdr:from>
        <xdr:to>
          <xdr:col>0</xdr:col>
          <xdr:colOff>571500</xdr:colOff>
          <xdr:row>37</xdr:row>
          <xdr:rowOff>9525</xdr:rowOff>
        </xdr:to>
        <xdr:sp macro="" textlink="">
          <xdr:nvSpPr>
            <xdr:cNvPr id="1335" name="Check Box 311" descr="Onay Kutusu" hidden="1">
              <a:extLst>
                <a:ext uri="{63B3BB69-23CF-44E3-9099-C40C66FF867C}">
                  <a14:compatExt spid="_x0000_s1335"/>
                </a:ext>
                <a:ext uri="{FF2B5EF4-FFF2-40B4-BE49-F238E27FC236}">
                  <a16:creationId xmlns:a16="http://schemas.microsoft.com/office/drawing/2014/main" id="{00000000-0008-0000-0000-00003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36</xdr:row>
          <xdr:rowOff>200025</xdr:rowOff>
        </xdr:from>
        <xdr:to>
          <xdr:col>3</xdr:col>
          <xdr:colOff>638175</xdr:colOff>
          <xdr:row>37</xdr:row>
          <xdr:rowOff>200025</xdr:rowOff>
        </xdr:to>
        <xdr:sp macro="" textlink="">
          <xdr:nvSpPr>
            <xdr:cNvPr id="1336" name="Check Box 312" descr="Onay Kutusu" hidden="1">
              <a:extLst>
                <a:ext uri="{63B3BB69-23CF-44E3-9099-C40C66FF867C}">
                  <a14:compatExt spid="_x0000_s1336"/>
                </a:ext>
                <a:ext uri="{FF2B5EF4-FFF2-40B4-BE49-F238E27FC236}">
                  <a16:creationId xmlns:a16="http://schemas.microsoft.com/office/drawing/2014/main" id="{00000000-0008-0000-0000-00003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36</xdr:row>
          <xdr:rowOff>200025</xdr:rowOff>
        </xdr:from>
        <xdr:to>
          <xdr:col>3</xdr:col>
          <xdr:colOff>638175</xdr:colOff>
          <xdr:row>37</xdr:row>
          <xdr:rowOff>200025</xdr:rowOff>
        </xdr:to>
        <xdr:sp macro="" textlink="">
          <xdr:nvSpPr>
            <xdr:cNvPr id="1337" name="Check Box 313" descr="Onay Kutusu" hidden="1">
              <a:extLst>
                <a:ext uri="{63B3BB69-23CF-44E3-9099-C40C66FF867C}">
                  <a14:compatExt spid="_x0000_s1337"/>
                </a:ext>
                <a:ext uri="{FF2B5EF4-FFF2-40B4-BE49-F238E27FC236}">
                  <a16:creationId xmlns:a16="http://schemas.microsoft.com/office/drawing/2014/main" id="{00000000-0008-0000-0000-00003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36</xdr:row>
          <xdr:rowOff>9525</xdr:rowOff>
        </xdr:from>
        <xdr:to>
          <xdr:col>0</xdr:col>
          <xdr:colOff>571500</xdr:colOff>
          <xdr:row>37</xdr:row>
          <xdr:rowOff>9525</xdr:rowOff>
        </xdr:to>
        <xdr:sp macro="" textlink="">
          <xdr:nvSpPr>
            <xdr:cNvPr id="1338" name="Check Box 314" descr="Onay Kutusu" hidden="1">
              <a:extLst>
                <a:ext uri="{63B3BB69-23CF-44E3-9099-C40C66FF867C}">
                  <a14:compatExt spid="_x0000_s1338"/>
                </a:ext>
                <a:ext uri="{FF2B5EF4-FFF2-40B4-BE49-F238E27FC236}">
                  <a16:creationId xmlns:a16="http://schemas.microsoft.com/office/drawing/2014/main" id="{00000000-0008-0000-0000-00003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37</xdr:row>
          <xdr:rowOff>9525</xdr:rowOff>
        </xdr:from>
        <xdr:to>
          <xdr:col>0</xdr:col>
          <xdr:colOff>571500</xdr:colOff>
          <xdr:row>38</xdr:row>
          <xdr:rowOff>9525</xdr:rowOff>
        </xdr:to>
        <xdr:sp macro="" textlink="">
          <xdr:nvSpPr>
            <xdr:cNvPr id="1339" name="Check Box 315" descr="Onay Kutusu" hidden="1">
              <a:extLst>
                <a:ext uri="{63B3BB69-23CF-44E3-9099-C40C66FF867C}">
                  <a14:compatExt spid="_x0000_s1339"/>
                </a:ext>
                <a:ext uri="{FF2B5EF4-FFF2-40B4-BE49-F238E27FC236}">
                  <a16:creationId xmlns:a16="http://schemas.microsoft.com/office/drawing/2014/main" id="{00000000-0008-0000-0000-00003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38</xdr:row>
          <xdr:rowOff>9525</xdr:rowOff>
        </xdr:from>
        <xdr:to>
          <xdr:col>0</xdr:col>
          <xdr:colOff>571500</xdr:colOff>
          <xdr:row>39</xdr:row>
          <xdr:rowOff>9525</xdr:rowOff>
        </xdr:to>
        <xdr:sp macro="" textlink="">
          <xdr:nvSpPr>
            <xdr:cNvPr id="1340" name="Check Box 316" descr="Onay Kutusu" hidden="1">
              <a:extLst>
                <a:ext uri="{63B3BB69-23CF-44E3-9099-C40C66FF867C}">
                  <a14:compatExt spid="_x0000_s1340"/>
                </a:ext>
                <a:ext uri="{FF2B5EF4-FFF2-40B4-BE49-F238E27FC236}">
                  <a16:creationId xmlns:a16="http://schemas.microsoft.com/office/drawing/2014/main" id="{00000000-0008-0000-0000-00003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36</xdr:row>
          <xdr:rowOff>200025</xdr:rowOff>
        </xdr:from>
        <xdr:to>
          <xdr:col>3</xdr:col>
          <xdr:colOff>638175</xdr:colOff>
          <xdr:row>37</xdr:row>
          <xdr:rowOff>200025</xdr:rowOff>
        </xdr:to>
        <xdr:sp macro="" textlink="">
          <xdr:nvSpPr>
            <xdr:cNvPr id="1341" name="Check Box 317" descr="Onay Kutusu" hidden="1">
              <a:extLst>
                <a:ext uri="{63B3BB69-23CF-44E3-9099-C40C66FF867C}">
                  <a14:compatExt spid="_x0000_s1341"/>
                </a:ext>
                <a:ext uri="{FF2B5EF4-FFF2-40B4-BE49-F238E27FC236}">
                  <a16:creationId xmlns:a16="http://schemas.microsoft.com/office/drawing/2014/main" id="{00000000-0008-0000-0000-00003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36</xdr:row>
          <xdr:rowOff>200025</xdr:rowOff>
        </xdr:from>
        <xdr:to>
          <xdr:col>3</xdr:col>
          <xdr:colOff>638175</xdr:colOff>
          <xdr:row>37</xdr:row>
          <xdr:rowOff>200025</xdr:rowOff>
        </xdr:to>
        <xdr:sp macro="" textlink="">
          <xdr:nvSpPr>
            <xdr:cNvPr id="1342" name="Check Box 318" descr="Onay Kutusu" hidden="1">
              <a:extLst>
                <a:ext uri="{63B3BB69-23CF-44E3-9099-C40C66FF867C}">
                  <a14:compatExt spid="_x0000_s1342"/>
                </a:ext>
                <a:ext uri="{FF2B5EF4-FFF2-40B4-BE49-F238E27FC236}">
                  <a16:creationId xmlns:a16="http://schemas.microsoft.com/office/drawing/2014/main" id="{00000000-0008-0000-0000-00003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37</xdr:row>
          <xdr:rowOff>200025</xdr:rowOff>
        </xdr:from>
        <xdr:to>
          <xdr:col>3</xdr:col>
          <xdr:colOff>638175</xdr:colOff>
          <xdr:row>38</xdr:row>
          <xdr:rowOff>200025</xdr:rowOff>
        </xdr:to>
        <xdr:sp macro="" textlink="">
          <xdr:nvSpPr>
            <xdr:cNvPr id="1343" name="Check Box 319" descr="Onay Kutusu" hidden="1">
              <a:extLst>
                <a:ext uri="{63B3BB69-23CF-44E3-9099-C40C66FF867C}">
                  <a14:compatExt spid="_x0000_s1343"/>
                </a:ext>
                <a:ext uri="{FF2B5EF4-FFF2-40B4-BE49-F238E27FC236}">
                  <a16:creationId xmlns:a16="http://schemas.microsoft.com/office/drawing/2014/main" id="{00000000-0008-0000-0000-00003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37</xdr:row>
          <xdr:rowOff>200025</xdr:rowOff>
        </xdr:from>
        <xdr:to>
          <xdr:col>3</xdr:col>
          <xdr:colOff>638175</xdr:colOff>
          <xdr:row>38</xdr:row>
          <xdr:rowOff>200025</xdr:rowOff>
        </xdr:to>
        <xdr:sp macro="" textlink="">
          <xdr:nvSpPr>
            <xdr:cNvPr id="1344" name="Check Box 320" descr="Onay Kutusu" hidden="1">
              <a:extLst>
                <a:ext uri="{63B3BB69-23CF-44E3-9099-C40C66FF867C}">
                  <a14:compatExt spid="_x0000_s1344"/>
                </a:ext>
                <a:ext uri="{FF2B5EF4-FFF2-40B4-BE49-F238E27FC236}">
                  <a16:creationId xmlns:a16="http://schemas.microsoft.com/office/drawing/2014/main" id="{00000000-0008-0000-0000-00004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38</xdr:row>
          <xdr:rowOff>200025</xdr:rowOff>
        </xdr:from>
        <xdr:to>
          <xdr:col>3</xdr:col>
          <xdr:colOff>638175</xdr:colOff>
          <xdr:row>39</xdr:row>
          <xdr:rowOff>200025</xdr:rowOff>
        </xdr:to>
        <xdr:sp macro="" textlink="">
          <xdr:nvSpPr>
            <xdr:cNvPr id="1345" name="Check Box 321" descr="Onay Kutusu" hidden="1">
              <a:extLst>
                <a:ext uri="{63B3BB69-23CF-44E3-9099-C40C66FF867C}">
                  <a14:compatExt spid="_x0000_s1345"/>
                </a:ext>
                <a:ext uri="{FF2B5EF4-FFF2-40B4-BE49-F238E27FC236}">
                  <a16:creationId xmlns:a16="http://schemas.microsoft.com/office/drawing/2014/main" id="{00000000-0008-0000-0000-00004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38</xdr:row>
          <xdr:rowOff>200025</xdr:rowOff>
        </xdr:from>
        <xdr:to>
          <xdr:col>3</xdr:col>
          <xdr:colOff>638175</xdr:colOff>
          <xdr:row>39</xdr:row>
          <xdr:rowOff>200025</xdr:rowOff>
        </xdr:to>
        <xdr:sp macro="" textlink="">
          <xdr:nvSpPr>
            <xdr:cNvPr id="1346" name="Check Box 322" descr="Onay Kutusu" hidden="1">
              <a:extLst>
                <a:ext uri="{63B3BB69-23CF-44E3-9099-C40C66FF867C}">
                  <a14:compatExt spid="_x0000_s1346"/>
                </a:ext>
                <a:ext uri="{FF2B5EF4-FFF2-40B4-BE49-F238E27FC236}">
                  <a16:creationId xmlns:a16="http://schemas.microsoft.com/office/drawing/2014/main" id="{00000000-0008-0000-0000-00004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38</xdr:row>
          <xdr:rowOff>9525</xdr:rowOff>
        </xdr:from>
        <xdr:to>
          <xdr:col>0</xdr:col>
          <xdr:colOff>571500</xdr:colOff>
          <xdr:row>39</xdr:row>
          <xdr:rowOff>9525</xdr:rowOff>
        </xdr:to>
        <xdr:sp macro="" textlink="">
          <xdr:nvSpPr>
            <xdr:cNvPr id="1347" name="Check Box 323" descr="Onay Kutusu" hidden="1">
              <a:extLst>
                <a:ext uri="{63B3BB69-23CF-44E3-9099-C40C66FF867C}">
                  <a14:compatExt spid="_x0000_s1347"/>
                </a:ext>
                <a:ext uri="{FF2B5EF4-FFF2-40B4-BE49-F238E27FC236}">
                  <a16:creationId xmlns:a16="http://schemas.microsoft.com/office/drawing/2014/main" id="{00000000-0008-0000-0000-00004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38</xdr:row>
          <xdr:rowOff>200025</xdr:rowOff>
        </xdr:from>
        <xdr:to>
          <xdr:col>3</xdr:col>
          <xdr:colOff>638175</xdr:colOff>
          <xdr:row>39</xdr:row>
          <xdr:rowOff>200025</xdr:rowOff>
        </xdr:to>
        <xdr:sp macro="" textlink="">
          <xdr:nvSpPr>
            <xdr:cNvPr id="1348" name="Check Box 324" descr="Onay Kutusu" hidden="1">
              <a:extLst>
                <a:ext uri="{63B3BB69-23CF-44E3-9099-C40C66FF867C}">
                  <a14:compatExt spid="_x0000_s1348"/>
                </a:ext>
                <a:ext uri="{FF2B5EF4-FFF2-40B4-BE49-F238E27FC236}">
                  <a16:creationId xmlns:a16="http://schemas.microsoft.com/office/drawing/2014/main" id="{00000000-0008-0000-0000-00004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38</xdr:row>
          <xdr:rowOff>200025</xdr:rowOff>
        </xdr:from>
        <xdr:to>
          <xdr:col>3</xdr:col>
          <xdr:colOff>638175</xdr:colOff>
          <xdr:row>39</xdr:row>
          <xdr:rowOff>200025</xdr:rowOff>
        </xdr:to>
        <xdr:sp macro="" textlink="">
          <xdr:nvSpPr>
            <xdr:cNvPr id="1349" name="Check Box 325" descr="Onay Kutusu" hidden="1">
              <a:extLst>
                <a:ext uri="{63B3BB69-23CF-44E3-9099-C40C66FF867C}">
                  <a14:compatExt spid="_x0000_s1349"/>
                </a:ext>
                <a:ext uri="{FF2B5EF4-FFF2-40B4-BE49-F238E27FC236}">
                  <a16:creationId xmlns:a16="http://schemas.microsoft.com/office/drawing/2014/main" id="{00000000-0008-0000-0000-00004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38</xdr:row>
          <xdr:rowOff>9525</xdr:rowOff>
        </xdr:from>
        <xdr:to>
          <xdr:col>0</xdr:col>
          <xdr:colOff>571500</xdr:colOff>
          <xdr:row>39</xdr:row>
          <xdr:rowOff>9525</xdr:rowOff>
        </xdr:to>
        <xdr:sp macro="" textlink="">
          <xdr:nvSpPr>
            <xdr:cNvPr id="1350" name="Check Box 326" descr="Onay Kutusu" hidden="1">
              <a:extLst>
                <a:ext uri="{63B3BB69-23CF-44E3-9099-C40C66FF867C}">
                  <a14:compatExt spid="_x0000_s1350"/>
                </a:ext>
                <a:ext uri="{FF2B5EF4-FFF2-40B4-BE49-F238E27FC236}">
                  <a16:creationId xmlns:a16="http://schemas.microsoft.com/office/drawing/2014/main" id="{00000000-0008-0000-0000-00004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39</xdr:row>
          <xdr:rowOff>9525</xdr:rowOff>
        </xdr:from>
        <xdr:to>
          <xdr:col>0</xdr:col>
          <xdr:colOff>571500</xdr:colOff>
          <xdr:row>40</xdr:row>
          <xdr:rowOff>9525</xdr:rowOff>
        </xdr:to>
        <xdr:sp macro="" textlink="">
          <xdr:nvSpPr>
            <xdr:cNvPr id="1351" name="Check Box 327" descr="Onay Kutusu" hidden="1">
              <a:extLst>
                <a:ext uri="{63B3BB69-23CF-44E3-9099-C40C66FF867C}">
                  <a14:compatExt spid="_x0000_s1351"/>
                </a:ext>
                <a:ext uri="{FF2B5EF4-FFF2-40B4-BE49-F238E27FC236}">
                  <a16:creationId xmlns:a16="http://schemas.microsoft.com/office/drawing/2014/main" id="{00000000-0008-0000-0000-00004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40</xdr:row>
          <xdr:rowOff>9525</xdr:rowOff>
        </xdr:from>
        <xdr:to>
          <xdr:col>0</xdr:col>
          <xdr:colOff>571500</xdr:colOff>
          <xdr:row>41</xdr:row>
          <xdr:rowOff>9525</xdr:rowOff>
        </xdr:to>
        <xdr:sp macro="" textlink="">
          <xdr:nvSpPr>
            <xdr:cNvPr id="1352" name="Check Box 328" descr="Onay Kutusu" hidden="1">
              <a:extLst>
                <a:ext uri="{63B3BB69-23CF-44E3-9099-C40C66FF867C}">
                  <a14:compatExt spid="_x0000_s1352"/>
                </a:ext>
                <a:ext uri="{FF2B5EF4-FFF2-40B4-BE49-F238E27FC236}">
                  <a16:creationId xmlns:a16="http://schemas.microsoft.com/office/drawing/2014/main" id="{00000000-0008-0000-0000-00004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38</xdr:row>
          <xdr:rowOff>200025</xdr:rowOff>
        </xdr:from>
        <xdr:to>
          <xdr:col>3</xdr:col>
          <xdr:colOff>638175</xdr:colOff>
          <xdr:row>39</xdr:row>
          <xdr:rowOff>200025</xdr:rowOff>
        </xdr:to>
        <xdr:sp macro="" textlink="">
          <xdr:nvSpPr>
            <xdr:cNvPr id="1353" name="Check Box 329" descr="Onay Kutusu" hidden="1">
              <a:extLst>
                <a:ext uri="{63B3BB69-23CF-44E3-9099-C40C66FF867C}">
                  <a14:compatExt spid="_x0000_s1353"/>
                </a:ext>
                <a:ext uri="{FF2B5EF4-FFF2-40B4-BE49-F238E27FC236}">
                  <a16:creationId xmlns:a16="http://schemas.microsoft.com/office/drawing/2014/main" id="{00000000-0008-0000-0000-00004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38</xdr:row>
          <xdr:rowOff>200025</xdr:rowOff>
        </xdr:from>
        <xdr:to>
          <xdr:col>3</xdr:col>
          <xdr:colOff>638175</xdr:colOff>
          <xdr:row>39</xdr:row>
          <xdr:rowOff>200025</xdr:rowOff>
        </xdr:to>
        <xdr:sp macro="" textlink="">
          <xdr:nvSpPr>
            <xdr:cNvPr id="1354" name="Check Box 330" descr="Onay Kutusu" hidden="1">
              <a:extLst>
                <a:ext uri="{63B3BB69-23CF-44E3-9099-C40C66FF867C}">
                  <a14:compatExt spid="_x0000_s1354"/>
                </a:ext>
                <a:ext uri="{FF2B5EF4-FFF2-40B4-BE49-F238E27FC236}">
                  <a16:creationId xmlns:a16="http://schemas.microsoft.com/office/drawing/2014/main" id="{00000000-0008-0000-0000-00004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39</xdr:row>
          <xdr:rowOff>200025</xdr:rowOff>
        </xdr:from>
        <xdr:to>
          <xdr:col>3</xdr:col>
          <xdr:colOff>638175</xdr:colOff>
          <xdr:row>40</xdr:row>
          <xdr:rowOff>200025</xdr:rowOff>
        </xdr:to>
        <xdr:sp macro="" textlink="">
          <xdr:nvSpPr>
            <xdr:cNvPr id="1355" name="Check Box 331" descr="Onay Kutusu" hidden="1">
              <a:extLst>
                <a:ext uri="{63B3BB69-23CF-44E3-9099-C40C66FF867C}">
                  <a14:compatExt spid="_x0000_s1355"/>
                </a:ext>
                <a:ext uri="{FF2B5EF4-FFF2-40B4-BE49-F238E27FC236}">
                  <a16:creationId xmlns:a16="http://schemas.microsoft.com/office/drawing/2014/main" id="{00000000-0008-0000-0000-00004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39</xdr:row>
          <xdr:rowOff>200025</xdr:rowOff>
        </xdr:from>
        <xdr:to>
          <xdr:col>3</xdr:col>
          <xdr:colOff>638175</xdr:colOff>
          <xdr:row>40</xdr:row>
          <xdr:rowOff>200025</xdr:rowOff>
        </xdr:to>
        <xdr:sp macro="" textlink="">
          <xdr:nvSpPr>
            <xdr:cNvPr id="1356" name="Check Box 332" descr="Onay Kutusu" hidden="1">
              <a:extLst>
                <a:ext uri="{63B3BB69-23CF-44E3-9099-C40C66FF867C}">
                  <a14:compatExt spid="_x0000_s1356"/>
                </a:ext>
                <a:ext uri="{FF2B5EF4-FFF2-40B4-BE49-F238E27FC236}">
                  <a16:creationId xmlns:a16="http://schemas.microsoft.com/office/drawing/2014/main" id="{00000000-0008-0000-0000-00004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40</xdr:row>
          <xdr:rowOff>200025</xdr:rowOff>
        </xdr:from>
        <xdr:to>
          <xdr:col>3</xdr:col>
          <xdr:colOff>638175</xdr:colOff>
          <xdr:row>41</xdr:row>
          <xdr:rowOff>200025</xdr:rowOff>
        </xdr:to>
        <xdr:sp macro="" textlink="">
          <xdr:nvSpPr>
            <xdr:cNvPr id="1357" name="Check Box 333" descr="Onay Kutusu" hidden="1">
              <a:extLst>
                <a:ext uri="{63B3BB69-23CF-44E3-9099-C40C66FF867C}">
                  <a14:compatExt spid="_x0000_s1357"/>
                </a:ext>
                <a:ext uri="{FF2B5EF4-FFF2-40B4-BE49-F238E27FC236}">
                  <a16:creationId xmlns:a16="http://schemas.microsoft.com/office/drawing/2014/main" id="{00000000-0008-0000-0000-00004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40</xdr:row>
          <xdr:rowOff>200025</xdr:rowOff>
        </xdr:from>
        <xdr:to>
          <xdr:col>3</xdr:col>
          <xdr:colOff>638175</xdr:colOff>
          <xdr:row>41</xdr:row>
          <xdr:rowOff>200025</xdr:rowOff>
        </xdr:to>
        <xdr:sp macro="" textlink="">
          <xdr:nvSpPr>
            <xdr:cNvPr id="1358" name="Check Box 334" descr="Onay Kutusu" hidden="1">
              <a:extLst>
                <a:ext uri="{63B3BB69-23CF-44E3-9099-C40C66FF867C}">
                  <a14:compatExt spid="_x0000_s1358"/>
                </a:ext>
                <a:ext uri="{FF2B5EF4-FFF2-40B4-BE49-F238E27FC236}">
                  <a16:creationId xmlns:a16="http://schemas.microsoft.com/office/drawing/2014/main" id="{00000000-0008-0000-0000-00004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40</xdr:row>
          <xdr:rowOff>9525</xdr:rowOff>
        </xdr:from>
        <xdr:to>
          <xdr:col>0</xdr:col>
          <xdr:colOff>571500</xdr:colOff>
          <xdr:row>41</xdr:row>
          <xdr:rowOff>9525</xdr:rowOff>
        </xdr:to>
        <xdr:sp macro="" textlink="">
          <xdr:nvSpPr>
            <xdr:cNvPr id="1359" name="Check Box 335" descr="Onay Kutusu" hidden="1">
              <a:extLst>
                <a:ext uri="{63B3BB69-23CF-44E3-9099-C40C66FF867C}">
                  <a14:compatExt spid="_x0000_s1359"/>
                </a:ext>
                <a:ext uri="{FF2B5EF4-FFF2-40B4-BE49-F238E27FC236}">
                  <a16:creationId xmlns:a16="http://schemas.microsoft.com/office/drawing/2014/main" id="{00000000-0008-0000-0000-00004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40</xdr:row>
          <xdr:rowOff>200025</xdr:rowOff>
        </xdr:from>
        <xdr:to>
          <xdr:col>3</xdr:col>
          <xdr:colOff>638175</xdr:colOff>
          <xdr:row>41</xdr:row>
          <xdr:rowOff>200025</xdr:rowOff>
        </xdr:to>
        <xdr:sp macro="" textlink="">
          <xdr:nvSpPr>
            <xdr:cNvPr id="1360" name="Check Box 336" descr="Onay Kutusu" hidden="1">
              <a:extLst>
                <a:ext uri="{63B3BB69-23CF-44E3-9099-C40C66FF867C}">
                  <a14:compatExt spid="_x0000_s1360"/>
                </a:ext>
                <a:ext uri="{FF2B5EF4-FFF2-40B4-BE49-F238E27FC236}">
                  <a16:creationId xmlns:a16="http://schemas.microsoft.com/office/drawing/2014/main" id="{00000000-0008-0000-0000-00005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40</xdr:row>
          <xdr:rowOff>200025</xdr:rowOff>
        </xdr:from>
        <xdr:to>
          <xdr:col>3</xdr:col>
          <xdr:colOff>638175</xdr:colOff>
          <xdr:row>41</xdr:row>
          <xdr:rowOff>200025</xdr:rowOff>
        </xdr:to>
        <xdr:sp macro="" textlink="">
          <xdr:nvSpPr>
            <xdr:cNvPr id="1361" name="Check Box 337" descr="Onay Kutusu" hidden="1">
              <a:extLst>
                <a:ext uri="{63B3BB69-23CF-44E3-9099-C40C66FF867C}">
                  <a14:compatExt spid="_x0000_s1361"/>
                </a:ext>
                <a:ext uri="{FF2B5EF4-FFF2-40B4-BE49-F238E27FC236}">
                  <a16:creationId xmlns:a16="http://schemas.microsoft.com/office/drawing/2014/main" id="{00000000-0008-0000-0000-00005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40</xdr:row>
          <xdr:rowOff>9525</xdr:rowOff>
        </xdr:from>
        <xdr:to>
          <xdr:col>0</xdr:col>
          <xdr:colOff>571500</xdr:colOff>
          <xdr:row>41</xdr:row>
          <xdr:rowOff>9525</xdr:rowOff>
        </xdr:to>
        <xdr:sp macro="" textlink="">
          <xdr:nvSpPr>
            <xdr:cNvPr id="1362" name="Check Box 338" descr="Onay Kutusu" hidden="1">
              <a:extLst>
                <a:ext uri="{63B3BB69-23CF-44E3-9099-C40C66FF867C}">
                  <a14:compatExt spid="_x0000_s1362"/>
                </a:ext>
                <a:ext uri="{FF2B5EF4-FFF2-40B4-BE49-F238E27FC236}">
                  <a16:creationId xmlns:a16="http://schemas.microsoft.com/office/drawing/2014/main" id="{00000000-0008-0000-0000-00005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41</xdr:row>
          <xdr:rowOff>9525</xdr:rowOff>
        </xdr:from>
        <xdr:to>
          <xdr:col>0</xdr:col>
          <xdr:colOff>571500</xdr:colOff>
          <xdr:row>42</xdr:row>
          <xdr:rowOff>9525</xdr:rowOff>
        </xdr:to>
        <xdr:sp macro="" textlink="">
          <xdr:nvSpPr>
            <xdr:cNvPr id="1363" name="Check Box 339" descr="Onay Kutusu" hidden="1">
              <a:extLst>
                <a:ext uri="{63B3BB69-23CF-44E3-9099-C40C66FF867C}">
                  <a14:compatExt spid="_x0000_s1363"/>
                </a:ext>
                <a:ext uri="{FF2B5EF4-FFF2-40B4-BE49-F238E27FC236}">
                  <a16:creationId xmlns:a16="http://schemas.microsoft.com/office/drawing/2014/main" id="{00000000-0008-0000-0000-00005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42</xdr:row>
          <xdr:rowOff>9525</xdr:rowOff>
        </xdr:from>
        <xdr:to>
          <xdr:col>0</xdr:col>
          <xdr:colOff>571500</xdr:colOff>
          <xdr:row>43</xdr:row>
          <xdr:rowOff>9525</xdr:rowOff>
        </xdr:to>
        <xdr:sp macro="" textlink="">
          <xdr:nvSpPr>
            <xdr:cNvPr id="1364" name="Check Box 340" descr="Onay Kutusu" hidden="1">
              <a:extLst>
                <a:ext uri="{63B3BB69-23CF-44E3-9099-C40C66FF867C}">
                  <a14:compatExt spid="_x0000_s1364"/>
                </a:ext>
                <a:ext uri="{FF2B5EF4-FFF2-40B4-BE49-F238E27FC236}">
                  <a16:creationId xmlns:a16="http://schemas.microsoft.com/office/drawing/2014/main" id="{00000000-0008-0000-0000-00005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40</xdr:row>
          <xdr:rowOff>200025</xdr:rowOff>
        </xdr:from>
        <xdr:to>
          <xdr:col>3</xdr:col>
          <xdr:colOff>638175</xdr:colOff>
          <xdr:row>41</xdr:row>
          <xdr:rowOff>200025</xdr:rowOff>
        </xdr:to>
        <xdr:sp macro="" textlink="">
          <xdr:nvSpPr>
            <xdr:cNvPr id="1365" name="Check Box 341" descr="Onay Kutusu" hidden="1">
              <a:extLst>
                <a:ext uri="{63B3BB69-23CF-44E3-9099-C40C66FF867C}">
                  <a14:compatExt spid="_x0000_s1365"/>
                </a:ext>
                <a:ext uri="{FF2B5EF4-FFF2-40B4-BE49-F238E27FC236}">
                  <a16:creationId xmlns:a16="http://schemas.microsoft.com/office/drawing/2014/main" id="{00000000-0008-0000-0000-00005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40</xdr:row>
          <xdr:rowOff>200025</xdr:rowOff>
        </xdr:from>
        <xdr:to>
          <xdr:col>3</xdr:col>
          <xdr:colOff>638175</xdr:colOff>
          <xdr:row>41</xdr:row>
          <xdr:rowOff>200025</xdr:rowOff>
        </xdr:to>
        <xdr:sp macro="" textlink="">
          <xdr:nvSpPr>
            <xdr:cNvPr id="1366" name="Check Box 342" descr="Onay Kutusu" hidden="1">
              <a:extLst>
                <a:ext uri="{63B3BB69-23CF-44E3-9099-C40C66FF867C}">
                  <a14:compatExt spid="_x0000_s1366"/>
                </a:ext>
                <a:ext uri="{FF2B5EF4-FFF2-40B4-BE49-F238E27FC236}">
                  <a16:creationId xmlns:a16="http://schemas.microsoft.com/office/drawing/2014/main" id="{00000000-0008-0000-0000-00005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41</xdr:row>
          <xdr:rowOff>200025</xdr:rowOff>
        </xdr:from>
        <xdr:to>
          <xdr:col>3</xdr:col>
          <xdr:colOff>638175</xdr:colOff>
          <xdr:row>42</xdr:row>
          <xdr:rowOff>200025</xdr:rowOff>
        </xdr:to>
        <xdr:sp macro="" textlink="">
          <xdr:nvSpPr>
            <xdr:cNvPr id="1367" name="Check Box 343" descr="Onay Kutusu" hidden="1">
              <a:extLst>
                <a:ext uri="{63B3BB69-23CF-44E3-9099-C40C66FF867C}">
                  <a14:compatExt spid="_x0000_s1367"/>
                </a:ext>
                <a:ext uri="{FF2B5EF4-FFF2-40B4-BE49-F238E27FC236}">
                  <a16:creationId xmlns:a16="http://schemas.microsoft.com/office/drawing/2014/main" id="{00000000-0008-0000-0000-00005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41</xdr:row>
          <xdr:rowOff>200025</xdr:rowOff>
        </xdr:from>
        <xdr:to>
          <xdr:col>3</xdr:col>
          <xdr:colOff>638175</xdr:colOff>
          <xdr:row>42</xdr:row>
          <xdr:rowOff>200025</xdr:rowOff>
        </xdr:to>
        <xdr:sp macro="" textlink="">
          <xdr:nvSpPr>
            <xdr:cNvPr id="1368" name="Check Box 344" descr="Onay Kutusu" hidden="1">
              <a:extLst>
                <a:ext uri="{63B3BB69-23CF-44E3-9099-C40C66FF867C}">
                  <a14:compatExt spid="_x0000_s1368"/>
                </a:ext>
                <a:ext uri="{FF2B5EF4-FFF2-40B4-BE49-F238E27FC236}">
                  <a16:creationId xmlns:a16="http://schemas.microsoft.com/office/drawing/2014/main" id="{00000000-0008-0000-0000-00005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42</xdr:row>
          <xdr:rowOff>200025</xdr:rowOff>
        </xdr:from>
        <xdr:to>
          <xdr:col>3</xdr:col>
          <xdr:colOff>638175</xdr:colOff>
          <xdr:row>43</xdr:row>
          <xdr:rowOff>200025</xdr:rowOff>
        </xdr:to>
        <xdr:sp macro="" textlink="">
          <xdr:nvSpPr>
            <xdr:cNvPr id="1369" name="Check Box 345" descr="Onay Kutusu" hidden="1">
              <a:extLst>
                <a:ext uri="{63B3BB69-23CF-44E3-9099-C40C66FF867C}">
                  <a14:compatExt spid="_x0000_s1369"/>
                </a:ext>
                <a:ext uri="{FF2B5EF4-FFF2-40B4-BE49-F238E27FC236}">
                  <a16:creationId xmlns:a16="http://schemas.microsoft.com/office/drawing/2014/main" id="{00000000-0008-0000-0000-00005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42</xdr:row>
          <xdr:rowOff>200025</xdr:rowOff>
        </xdr:from>
        <xdr:to>
          <xdr:col>3</xdr:col>
          <xdr:colOff>638175</xdr:colOff>
          <xdr:row>43</xdr:row>
          <xdr:rowOff>200025</xdr:rowOff>
        </xdr:to>
        <xdr:sp macro="" textlink="">
          <xdr:nvSpPr>
            <xdr:cNvPr id="1370" name="Check Box 346" descr="Onay Kutusu" hidden="1">
              <a:extLst>
                <a:ext uri="{63B3BB69-23CF-44E3-9099-C40C66FF867C}">
                  <a14:compatExt spid="_x0000_s1370"/>
                </a:ext>
                <a:ext uri="{FF2B5EF4-FFF2-40B4-BE49-F238E27FC236}">
                  <a16:creationId xmlns:a16="http://schemas.microsoft.com/office/drawing/2014/main" id="{00000000-0008-0000-0000-00005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42</xdr:row>
          <xdr:rowOff>9525</xdr:rowOff>
        </xdr:from>
        <xdr:to>
          <xdr:col>0</xdr:col>
          <xdr:colOff>571500</xdr:colOff>
          <xdr:row>43</xdr:row>
          <xdr:rowOff>9525</xdr:rowOff>
        </xdr:to>
        <xdr:sp macro="" textlink="">
          <xdr:nvSpPr>
            <xdr:cNvPr id="1371" name="Check Box 347" descr="Onay Kutusu" hidden="1">
              <a:extLst>
                <a:ext uri="{63B3BB69-23CF-44E3-9099-C40C66FF867C}">
                  <a14:compatExt spid="_x0000_s1371"/>
                </a:ext>
                <a:ext uri="{FF2B5EF4-FFF2-40B4-BE49-F238E27FC236}">
                  <a16:creationId xmlns:a16="http://schemas.microsoft.com/office/drawing/2014/main" id="{00000000-0008-0000-0000-00005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42</xdr:row>
          <xdr:rowOff>200025</xdr:rowOff>
        </xdr:from>
        <xdr:to>
          <xdr:col>3</xdr:col>
          <xdr:colOff>638175</xdr:colOff>
          <xdr:row>43</xdr:row>
          <xdr:rowOff>200025</xdr:rowOff>
        </xdr:to>
        <xdr:sp macro="" textlink="">
          <xdr:nvSpPr>
            <xdr:cNvPr id="1372" name="Check Box 348" descr="Onay Kutusu" hidden="1">
              <a:extLst>
                <a:ext uri="{63B3BB69-23CF-44E3-9099-C40C66FF867C}">
                  <a14:compatExt spid="_x0000_s1372"/>
                </a:ext>
                <a:ext uri="{FF2B5EF4-FFF2-40B4-BE49-F238E27FC236}">
                  <a16:creationId xmlns:a16="http://schemas.microsoft.com/office/drawing/2014/main" id="{00000000-0008-0000-0000-00005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42</xdr:row>
          <xdr:rowOff>200025</xdr:rowOff>
        </xdr:from>
        <xdr:to>
          <xdr:col>3</xdr:col>
          <xdr:colOff>638175</xdr:colOff>
          <xdr:row>43</xdr:row>
          <xdr:rowOff>200025</xdr:rowOff>
        </xdr:to>
        <xdr:sp macro="" textlink="">
          <xdr:nvSpPr>
            <xdr:cNvPr id="1373" name="Check Box 349" descr="Onay Kutusu" hidden="1">
              <a:extLst>
                <a:ext uri="{63B3BB69-23CF-44E3-9099-C40C66FF867C}">
                  <a14:compatExt spid="_x0000_s1373"/>
                </a:ext>
                <a:ext uri="{FF2B5EF4-FFF2-40B4-BE49-F238E27FC236}">
                  <a16:creationId xmlns:a16="http://schemas.microsoft.com/office/drawing/2014/main" id="{00000000-0008-0000-0000-00005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58</xdr:row>
          <xdr:rowOff>9525</xdr:rowOff>
        </xdr:from>
        <xdr:to>
          <xdr:col>0</xdr:col>
          <xdr:colOff>571500</xdr:colOff>
          <xdr:row>59</xdr:row>
          <xdr:rowOff>9525</xdr:rowOff>
        </xdr:to>
        <xdr:sp macro="" textlink="">
          <xdr:nvSpPr>
            <xdr:cNvPr id="1377" name="Check Box 353" descr="Onay Kutusu" hidden="1">
              <a:extLst>
                <a:ext uri="{63B3BB69-23CF-44E3-9099-C40C66FF867C}">
                  <a14:compatExt spid="_x0000_s1377"/>
                </a:ext>
                <a:ext uri="{FF2B5EF4-FFF2-40B4-BE49-F238E27FC236}">
                  <a16:creationId xmlns:a16="http://schemas.microsoft.com/office/drawing/2014/main" id="{00000000-0008-0000-0000-00006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59</xdr:row>
          <xdr:rowOff>9525</xdr:rowOff>
        </xdr:from>
        <xdr:to>
          <xdr:col>0</xdr:col>
          <xdr:colOff>571500</xdr:colOff>
          <xdr:row>60</xdr:row>
          <xdr:rowOff>9525</xdr:rowOff>
        </xdr:to>
        <xdr:sp macro="" textlink="">
          <xdr:nvSpPr>
            <xdr:cNvPr id="1378" name="Check Box 354" descr="Onay Kutusu" hidden="1">
              <a:extLst>
                <a:ext uri="{63B3BB69-23CF-44E3-9099-C40C66FF867C}">
                  <a14:compatExt spid="_x0000_s1378"/>
                </a:ext>
                <a:ext uri="{FF2B5EF4-FFF2-40B4-BE49-F238E27FC236}">
                  <a16:creationId xmlns:a16="http://schemas.microsoft.com/office/drawing/2014/main" id="{00000000-0008-0000-0000-00006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59</xdr:row>
          <xdr:rowOff>219075</xdr:rowOff>
        </xdr:from>
        <xdr:to>
          <xdr:col>0</xdr:col>
          <xdr:colOff>571500</xdr:colOff>
          <xdr:row>61</xdr:row>
          <xdr:rowOff>0</xdr:rowOff>
        </xdr:to>
        <xdr:sp macro="" textlink="">
          <xdr:nvSpPr>
            <xdr:cNvPr id="1379" name="Check Box 355" descr="Onay Kutusu" hidden="1">
              <a:extLst>
                <a:ext uri="{63B3BB69-23CF-44E3-9099-C40C66FF867C}">
                  <a14:compatExt spid="_x0000_s1379"/>
                </a:ext>
                <a:ext uri="{FF2B5EF4-FFF2-40B4-BE49-F238E27FC236}">
                  <a16:creationId xmlns:a16="http://schemas.microsoft.com/office/drawing/2014/main" id="{00000000-0008-0000-0000-00006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58</xdr:row>
          <xdr:rowOff>200025</xdr:rowOff>
        </xdr:from>
        <xdr:to>
          <xdr:col>3</xdr:col>
          <xdr:colOff>638175</xdr:colOff>
          <xdr:row>59</xdr:row>
          <xdr:rowOff>200025</xdr:rowOff>
        </xdr:to>
        <xdr:sp macro="" textlink="">
          <xdr:nvSpPr>
            <xdr:cNvPr id="1380" name="Check Box 356" descr="Onay Kutusu" hidden="1">
              <a:extLst>
                <a:ext uri="{63B3BB69-23CF-44E3-9099-C40C66FF867C}">
                  <a14:compatExt spid="_x0000_s1380"/>
                </a:ext>
                <a:ext uri="{FF2B5EF4-FFF2-40B4-BE49-F238E27FC236}">
                  <a16:creationId xmlns:a16="http://schemas.microsoft.com/office/drawing/2014/main" id="{00000000-0008-0000-0000-00006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58</xdr:row>
          <xdr:rowOff>200025</xdr:rowOff>
        </xdr:from>
        <xdr:to>
          <xdr:col>3</xdr:col>
          <xdr:colOff>638175</xdr:colOff>
          <xdr:row>59</xdr:row>
          <xdr:rowOff>200025</xdr:rowOff>
        </xdr:to>
        <xdr:sp macro="" textlink="">
          <xdr:nvSpPr>
            <xdr:cNvPr id="1381" name="Check Box 357" descr="Onay Kutusu" hidden="1">
              <a:extLst>
                <a:ext uri="{63B3BB69-23CF-44E3-9099-C40C66FF867C}">
                  <a14:compatExt spid="_x0000_s1381"/>
                </a:ext>
                <a:ext uri="{FF2B5EF4-FFF2-40B4-BE49-F238E27FC236}">
                  <a16:creationId xmlns:a16="http://schemas.microsoft.com/office/drawing/2014/main" id="{00000000-0008-0000-0000-00006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59</xdr:row>
          <xdr:rowOff>200025</xdr:rowOff>
        </xdr:from>
        <xdr:to>
          <xdr:col>3</xdr:col>
          <xdr:colOff>638175</xdr:colOff>
          <xdr:row>60</xdr:row>
          <xdr:rowOff>200025</xdr:rowOff>
        </xdr:to>
        <xdr:sp macro="" textlink="">
          <xdr:nvSpPr>
            <xdr:cNvPr id="1382" name="Check Box 358" descr="Onay Kutusu" hidden="1">
              <a:extLst>
                <a:ext uri="{63B3BB69-23CF-44E3-9099-C40C66FF867C}">
                  <a14:compatExt spid="_x0000_s1382"/>
                </a:ext>
                <a:ext uri="{FF2B5EF4-FFF2-40B4-BE49-F238E27FC236}">
                  <a16:creationId xmlns:a16="http://schemas.microsoft.com/office/drawing/2014/main" id="{00000000-0008-0000-0000-00006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59</xdr:row>
          <xdr:rowOff>200025</xdr:rowOff>
        </xdr:from>
        <xdr:to>
          <xdr:col>3</xdr:col>
          <xdr:colOff>638175</xdr:colOff>
          <xdr:row>60</xdr:row>
          <xdr:rowOff>200025</xdr:rowOff>
        </xdr:to>
        <xdr:sp macro="" textlink="">
          <xdr:nvSpPr>
            <xdr:cNvPr id="1383" name="Check Box 359" descr="Onay Kutusu" hidden="1">
              <a:extLst>
                <a:ext uri="{63B3BB69-23CF-44E3-9099-C40C66FF867C}">
                  <a14:compatExt spid="_x0000_s1383"/>
                </a:ext>
                <a:ext uri="{FF2B5EF4-FFF2-40B4-BE49-F238E27FC236}">
                  <a16:creationId xmlns:a16="http://schemas.microsoft.com/office/drawing/2014/main" id="{00000000-0008-0000-0000-00006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07" Type="http://schemas.openxmlformats.org/officeDocument/2006/relationships/ctrlProp" Target="../ctrlProps/ctrlProp104.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54" Type="http://schemas.openxmlformats.org/officeDocument/2006/relationships/ctrlProp" Target="../ctrlProps/ctrlProp51.xml"/><Relationship Id="rId70" Type="http://schemas.openxmlformats.org/officeDocument/2006/relationships/ctrlProp" Target="../ctrlProps/ctrlProp67.xml"/><Relationship Id="rId75" Type="http://schemas.openxmlformats.org/officeDocument/2006/relationships/ctrlProp" Target="../ctrlProps/ctrlProp72.xml"/><Relationship Id="rId91" Type="http://schemas.openxmlformats.org/officeDocument/2006/relationships/ctrlProp" Target="../ctrlProps/ctrlProp88.xml"/><Relationship Id="rId96" Type="http://schemas.openxmlformats.org/officeDocument/2006/relationships/ctrlProp" Target="../ctrlProps/ctrlProp93.xml"/><Relationship Id="rId140" Type="http://schemas.openxmlformats.org/officeDocument/2006/relationships/ctrlProp" Target="../ctrlProps/ctrlProp137.xml"/><Relationship Id="rId145" Type="http://schemas.openxmlformats.org/officeDocument/2006/relationships/ctrlProp" Target="../ctrlProps/ctrlProp142.xml"/><Relationship Id="rId161" Type="http://schemas.openxmlformats.org/officeDocument/2006/relationships/ctrlProp" Target="../ctrlProps/ctrlProp158.xml"/><Relationship Id="rId166" Type="http://schemas.openxmlformats.org/officeDocument/2006/relationships/ctrlProp" Target="../ctrlProps/ctrlProp16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23" Type="http://schemas.openxmlformats.org/officeDocument/2006/relationships/ctrlProp" Target="../ctrlProps/ctrlProp20.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119" Type="http://schemas.openxmlformats.org/officeDocument/2006/relationships/ctrlProp" Target="../ctrlProps/ctrlProp116.xml"/><Relationship Id="rId44" Type="http://schemas.openxmlformats.org/officeDocument/2006/relationships/ctrlProp" Target="../ctrlProps/ctrlProp41.xml"/><Relationship Id="rId60" Type="http://schemas.openxmlformats.org/officeDocument/2006/relationships/ctrlProp" Target="../ctrlProps/ctrlProp57.xml"/><Relationship Id="rId65" Type="http://schemas.openxmlformats.org/officeDocument/2006/relationships/ctrlProp" Target="../ctrlProps/ctrlProp62.xml"/><Relationship Id="rId81" Type="http://schemas.openxmlformats.org/officeDocument/2006/relationships/ctrlProp" Target="../ctrlProps/ctrlProp78.xml"/><Relationship Id="rId86" Type="http://schemas.openxmlformats.org/officeDocument/2006/relationships/ctrlProp" Target="../ctrlProps/ctrlProp83.xml"/><Relationship Id="rId130" Type="http://schemas.openxmlformats.org/officeDocument/2006/relationships/ctrlProp" Target="../ctrlProps/ctrlProp127.xml"/><Relationship Id="rId135" Type="http://schemas.openxmlformats.org/officeDocument/2006/relationships/ctrlProp" Target="../ctrlProps/ctrlProp132.xml"/><Relationship Id="rId151" Type="http://schemas.openxmlformats.org/officeDocument/2006/relationships/ctrlProp" Target="../ctrlProps/ctrlProp148.xml"/><Relationship Id="rId156" Type="http://schemas.openxmlformats.org/officeDocument/2006/relationships/ctrlProp" Target="../ctrlProps/ctrlProp153.xml"/><Relationship Id="rId172" Type="http://schemas.openxmlformats.org/officeDocument/2006/relationships/ctrlProp" Target="../ctrlProps/ctrlProp169.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167" Type="http://schemas.openxmlformats.org/officeDocument/2006/relationships/ctrlProp" Target="../ctrlProps/ctrlProp164.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162" Type="http://schemas.openxmlformats.org/officeDocument/2006/relationships/ctrlProp" Target="../ctrlProps/ctrlProp159.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9" Type="http://schemas.openxmlformats.org/officeDocument/2006/relationships/ctrlProp" Target="../ctrlProps/ctrlProp16.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3" Type="http://schemas.openxmlformats.org/officeDocument/2006/relationships/vmlDrawing" Target="../drawings/vmlDrawing1.v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4" Type="http://schemas.openxmlformats.org/officeDocument/2006/relationships/ctrlProp" Target="../ctrlProps/ctrlProp1.xml"/><Relationship Id="rId9" Type="http://schemas.openxmlformats.org/officeDocument/2006/relationships/ctrlProp" Target="../ctrlProps/ctrlProp6.xml"/><Relationship Id="rId26" Type="http://schemas.openxmlformats.org/officeDocument/2006/relationships/ctrlProp" Target="../ctrlProps/ctrlProp23.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6" Type="http://schemas.openxmlformats.org/officeDocument/2006/relationships/ctrlProp" Target="../ctrlProps/ctrlProp13.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ayfa1"/>
  <dimension ref="A1:O615"/>
  <sheetViews>
    <sheetView showGridLines="0" tabSelected="1" zoomScale="90" zoomScaleNormal="90" workbookViewId="0">
      <selection activeCell="B3" sqref="B3"/>
    </sheetView>
  </sheetViews>
  <sheetFormatPr defaultRowHeight="15" x14ac:dyDescent="0.25"/>
  <cols>
    <col min="1" max="1" width="10.140625" customWidth="1"/>
    <col min="2" max="2" width="33" bestFit="1" customWidth="1"/>
    <col min="3" max="3" width="12.28515625" customWidth="1"/>
    <col min="4" max="4" width="13.28515625" customWidth="1"/>
    <col min="5" max="5" width="33" bestFit="1" customWidth="1"/>
    <col min="6" max="6" width="12.85546875" customWidth="1"/>
    <col min="7" max="7" width="11.140625" customWidth="1"/>
    <col min="8" max="8" width="11.85546875" customWidth="1"/>
    <col min="9" max="9" width="40.42578125" customWidth="1"/>
    <col min="10" max="10" width="12.28515625" customWidth="1"/>
    <col min="11" max="12" width="10.42578125" customWidth="1"/>
    <col min="13" max="13" width="10.42578125" hidden="1" customWidth="1"/>
    <col min="14" max="44" width="10.42578125" customWidth="1"/>
  </cols>
  <sheetData>
    <row r="1" spans="1:15" ht="27" thickBot="1" x14ac:dyDescent="0.4">
      <c r="B1" s="136" t="s">
        <v>83</v>
      </c>
      <c r="C1" s="137"/>
      <c r="H1" s="141">
        <f>IF(AND($C$3="F",((2.5*(C7*F9*(1+(J5+J7+J9+J11))*J3))&lt;=0.3)),IF(AND(Tablolar!U5&gt;0,Tablolar!U5&lt;=500),Tablolar!U4+500,IF(Tablolar!U5&lt;&gt;0,Tablolar!U4+1000,0)),IF(AND($C$3="F",((2.5*(C7*F9*(1+(J5+J7+J9+J11))*J3))&gt;0.3)),IF(AND(Tablolar!W5&gt;0,Tablolar!W5&lt;=500),Tablolar!W4+500,IF(Tablolar!W5&lt;&gt;0,Tablolar!W4+1000,0)),IF(AND($B$3="OTOBÜS",((0.5*(C7*F9*(1+(J5+J7+J9+J11))*J3))&lt;=0.3)),IF(AND(Tablolar!U9&gt;0,Tablolar!U9&lt;=500),Tablolar!U8+500,IF(Tablolar!U9&lt;&gt;0,Tablolar!U8+1000,0)),IF(AND($B$3="OTOBÜS",((0.5*(C7*F9*(1+(J5+J7+J9+J11))*J3))&gt;0.3)),IF(AND(Tablolar!W5&gt;0,Tablolar!W5&lt;=500),Tablolar!W4+500,IF(Tablolar!W5&lt;&gt;0,Tablolar!W4+1000,0)),IF((C7*F9*(1+(J5+J7+J9+J11))*J3)&lt;=0.3,IF(AND(Tablolar!U13&gt;0,Tablolar!U13&lt;=500),Tablolar!U12+500,IF(Tablolar!U13&lt;&gt;0,Tablolar!U12+1000,0)),IF(AND(Tablolar!W5&gt;0,Tablolar!W5&lt;=500),Tablolar!W4+500,IF(Tablolar!W5&lt;&gt;0,Tablolar!W4+1000,0)))))))</f>
        <v>0</v>
      </c>
      <c r="I1" s="141"/>
    </row>
    <row r="2" spans="1:15" ht="17.100000000000001" customHeight="1" x14ac:dyDescent="0.25">
      <c r="A2" s="1"/>
      <c r="B2" s="2"/>
      <c r="C2" s="3"/>
    </row>
    <row r="3" spans="1:15" ht="17.100000000000001" customHeight="1" x14ac:dyDescent="0.25">
      <c r="A3" s="2"/>
      <c r="B3" s="63" t="s">
        <v>10</v>
      </c>
      <c r="C3" s="50">
        <f>IF(B3="ARAÇ GRUBU",0,VLOOKUP(B3,Tablolar!B3:C16,2,FALSE))</f>
        <v>0</v>
      </c>
      <c r="D3" s="10"/>
      <c r="E3" s="64" t="s">
        <v>109</v>
      </c>
      <c r="F3" s="55">
        <v>0</v>
      </c>
      <c r="H3" s="140" t="s">
        <v>122</v>
      </c>
      <c r="I3" s="140"/>
      <c r="J3" s="59">
        <f>IF($F$3=0,0,(((C64+H64+K64)+(((F3/C5)*100)*0.1))/100))</f>
        <v>0</v>
      </c>
    </row>
    <row r="4" spans="1:15" ht="17.100000000000001" customHeight="1" x14ac:dyDescent="0.25">
      <c r="A4" s="2"/>
      <c r="B4" s="11"/>
      <c r="C4" s="12"/>
      <c r="D4" s="10"/>
      <c r="H4" s="139"/>
      <c r="I4" s="139"/>
    </row>
    <row r="5" spans="1:15" ht="17.100000000000001" customHeight="1" x14ac:dyDescent="0.25">
      <c r="A5" s="1"/>
      <c r="B5" s="64" t="s">
        <v>32</v>
      </c>
      <c r="C5" s="51">
        <v>0</v>
      </c>
      <c r="D5" s="10"/>
      <c r="E5" s="64" t="s">
        <v>69</v>
      </c>
      <c r="F5" s="56" t="s">
        <v>77</v>
      </c>
      <c r="H5" s="140" t="s">
        <v>80</v>
      </c>
      <c r="I5" s="140"/>
      <c r="J5" s="60">
        <f>IF($F$5="EVET",-0.05,0)</f>
        <v>0</v>
      </c>
      <c r="N5" s="5"/>
      <c r="O5" s="65"/>
    </row>
    <row r="6" spans="1:15" ht="17.100000000000001" customHeight="1" x14ac:dyDescent="0.25">
      <c r="A6" s="2"/>
      <c r="B6" s="11"/>
      <c r="C6" s="12"/>
      <c r="D6" s="10"/>
      <c r="E6" s="4"/>
      <c r="F6" s="4"/>
      <c r="H6" s="139"/>
      <c r="I6" s="139"/>
      <c r="N6" s="65"/>
    </row>
    <row r="7" spans="1:15" ht="17.100000000000001" customHeight="1" x14ac:dyDescent="0.25">
      <c r="A7" s="2"/>
      <c r="B7" s="64" t="s">
        <v>49</v>
      </c>
      <c r="C7" s="52">
        <f>IF($C$5=0,0,VLOOKUP(Tablolar!$B$27,Tablolar!$B$19:$C$26,2,FALSE))</f>
        <v>0</v>
      </c>
      <c r="D7" s="10"/>
      <c r="E7" s="64" t="s">
        <v>81</v>
      </c>
      <c r="F7" s="57">
        <v>0</v>
      </c>
      <c r="H7" s="140" t="s">
        <v>82</v>
      </c>
      <c r="I7" s="140"/>
      <c r="J7" s="58">
        <f>IF($F$7= 0,0,IF($F$7&lt;=5,$F$7*-0.03,-0.15))</f>
        <v>0</v>
      </c>
      <c r="K7" s="6"/>
      <c r="N7" s="5"/>
      <c r="O7" s="65"/>
    </row>
    <row r="8" spans="1:15" ht="17.100000000000001" customHeight="1" x14ac:dyDescent="0.25">
      <c r="A8" s="2"/>
      <c r="B8" s="7"/>
      <c r="H8" s="139"/>
      <c r="I8" s="139"/>
      <c r="K8" s="8"/>
      <c r="O8" s="65"/>
    </row>
    <row r="9" spans="1:15" ht="17.100000000000001" customHeight="1" x14ac:dyDescent="0.25">
      <c r="A9" s="2"/>
      <c r="B9" s="64" t="str">
        <f>IF($C$3="D",Tablolar!E19,Tablolar!E12)</f>
        <v>KİLOMETRE</v>
      </c>
      <c r="C9" s="51">
        <v>0</v>
      </c>
      <c r="E9" s="64" t="str">
        <f>IF($C$3="D","ÇALIŞMA ZAMANI KATSAYISI","KİLOMETRE KATSAYISI")</f>
        <v>KİLOMETRE KATSAYISI</v>
      </c>
      <c r="F9" s="58">
        <f>(IF($C$9=0,1,VLOOKUP(C3,Tablolar!$E$13:$R$20, IF(AND(C3="D", $C$9&lt;=500),2, IF(AND(C3="D", $C$9&gt;=501, $C$9&lt;=1000),3, IF(AND(C3="D", $C$9&gt;=1001, $C$9&lt;=2000),4, IF(AND(C3="D", $C$9&gt;=2001, $C$9&lt;=3000),5, IF(AND(C3="D", $C$9&gt;=3001, $C$9&lt;=4000),6, IF(AND(C3="D", $C$9&gt;=4001, $C$9&lt;=5000),7, IF(AND(OR(C3="A",C3="F"), $C$9&lt;=19999),2, IF(AND(OR(C3="A",C3="F"), $C$9&gt;=20000, $C$9&lt;=49999),3, IF(AND(OR(C3="A",C3="F"), $C$9&gt;=50000, $C$9&lt;=99999),4, IF(AND(OR(C3="A",C3="F"), $C$9&gt;=100000, $C$9&lt;=149999),5, IF(AND(OR(C3="B",C3="C", C3="Ç",C3="E"), $C$9&lt;=49999),2, IF(AND(OR(C3="B",C3="C", C3="Ç", C3="E"), $C$9&gt;=50000, $C$9&lt;=149999),5, IF(AND(OR(C3="A",C3="F"), $C$9&gt;=150000, $C$9&lt;=199999),6, IF(AND(OR(C3="B",C3="C", C3="Ç", C3="E"), $C$9&gt;=150000, $C$9&lt;=299999),6, IF(AND(OR(C3="A",C3="F"), $C$9&gt;=200000, $C$9&lt;=299999),7, IF(AND(OR(C3="A",C3="F", C3="B",C3="C", C3="Ç", C3="E"), $C$9&gt;=300000, $C$9&lt;=499999),8, IF(AND(OR(C3="A",C3="F"), $C$9&gt;=500000),9, IF(AND(OR( C3="B",C3="C", C3="Ç", C3="E"), $C$9&gt;=500000, $C$9&lt;=749999),9, IF(AND(OR( C3="B",C3="C", C3="Ç", C3="E"), $C$9&gt;=750000, $C$9&lt;=999999),10, IF(AND(OR( C3="B",C3="C", C3="Ç", C3="E"), $C$9&gt;=1000000),11,1)))))))))))))))))))), FALSE)))</f>
        <v>1</v>
      </c>
      <c r="H9" s="140" t="s">
        <v>168</v>
      </c>
      <c r="I9" s="140"/>
      <c r="J9" s="58">
        <f>IF(AND(OR(C3="A",C3="F", C3="C",C3="B", C3="Ç",C3="E"),($C$9&lt;=1000)),0.05,IF(AND(OR(C3="A",C3="F"),(AND($C$9&gt;=20000,$C$9&lt;=21000))),0.05,IF(AND(OR(C3="A",C3="F", C3="C",C3="B", C3="Ç",C3="E"),(AND($C$9&gt;=50000,$C$9&lt;=51000))),0.05,IF(AND(OR(C3="A",C3="F"),(AND($C$9&gt;=100000,$C$9&lt;=101000))),0.05,IF(AND(OR(C3="A",C3="F", C3="C",C3="B", C3="Ç",C3="E"),(AND($C$9&gt;=150000,$C$9&lt;=151000))),0.05,IF(AND(OR(C3="A",C3="F"),(AND($C$9&gt;=200000,$C$9&lt;=201000))),0.05,IF(AND(OR(C3="A",C3="F", C3="C",C3="B", C3="Ç",C3="E"),(AND($C$9&gt;=300000,$C$9&lt;=301000))),0.05, IF(AND(OR( C3="C",C3="B", C3="Ç",C3="E"),(AND($C$9&gt;=500000,$C$9&lt;=501000))),0.05, IF(AND(OR( C3="C",C3="B", C3="Ç",C3="E"),(AND($C$9&gt;=750000,$C$9&lt;=751000))),0.05, IF(AND(OR( C3="C",C3="B", C3="Ç",C3="E"),(AND($C$9&gt;=1000000,$C$9&lt;=1001000))),0.05,0))))))))))</f>
        <v>0</v>
      </c>
      <c r="K9" s="8"/>
    </row>
    <row r="10" spans="1:15" ht="17.100000000000001" customHeight="1" x14ac:dyDescent="0.25">
      <c r="A10" s="2"/>
      <c r="B10" s="28"/>
      <c r="C10" s="29"/>
      <c r="E10" s="28"/>
      <c r="F10" s="30"/>
      <c r="H10" s="31"/>
      <c r="I10" s="31"/>
      <c r="J10" s="30"/>
      <c r="K10" s="8"/>
    </row>
    <row r="11" spans="1:15" ht="17.100000000000001" customHeight="1" x14ac:dyDescent="0.25">
      <c r="A11" s="2"/>
      <c r="B11" s="64" t="s">
        <v>221</v>
      </c>
      <c r="C11" s="53">
        <v>0</v>
      </c>
      <c r="E11" s="64" t="s">
        <v>249</v>
      </c>
      <c r="F11" s="54">
        <f ca="1">TODAY()</f>
        <v>46204</v>
      </c>
      <c r="H11" s="142"/>
      <c r="I11" s="142"/>
      <c r="J11" s="58"/>
      <c r="K11" s="8"/>
    </row>
    <row r="12" spans="1:15" ht="17.100000000000001" customHeight="1" x14ac:dyDescent="0.25">
      <c r="A12" s="2"/>
      <c r="B12" s="28"/>
      <c r="C12" s="32"/>
      <c r="E12" s="28"/>
      <c r="F12" s="33"/>
      <c r="H12" s="34"/>
      <c r="I12" s="34"/>
      <c r="J12" s="30"/>
      <c r="K12" s="8"/>
    </row>
    <row r="13" spans="1:15" ht="17.100000000000001" customHeight="1" x14ac:dyDescent="0.25">
      <c r="A13" s="138" t="s">
        <v>167</v>
      </c>
      <c r="B13" s="138"/>
      <c r="C13" s="138"/>
      <c r="D13" s="138"/>
      <c r="E13" s="138"/>
      <c r="F13" s="138"/>
      <c r="H13" s="34"/>
      <c r="I13" s="34"/>
      <c r="J13" s="30"/>
      <c r="K13" s="8"/>
    </row>
    <row r="14" spans="1:15" ht="17.100000000000001" customHeight="1" x14ac:dyDescent="0.25">
      <c r="A14" s="138"/>
      <c r="B14" s="138"/>
      <c r="C14" s="138"/>
      <c r="D14" s="138"/>
      <c r="E14" s="138"/>
      <c r="F14" s="138"/>
    </row>
    <row r="15" spans="1:15" ht="17.100000000000001" customHeight="1" x14ac:dyDescent="0.25">
      <c r="A15" s="61" t="s">
        <v>116</v>
      </c>
      <c r="B15" s="61" t="s">
        <v>0</v>
      </c>
      <c r="C15" s="62" t="s">
        <v>73</v>
      </c>
      <c r="D15" s="62" t="s">
        <v>116</v>
      </c>
      <c r="E15" s="62" t="s">
        <v>112</v>
      </c>
      <c r="F15" s="62" t="s">
        <v>165</v>
      </c>
      <c r="G15" s="62" t="s">
        <v>166</v>
      </c>
      <c r="H15" s="62" t="s">
        <v>73</v>
      </c>
      <c r="I15" s="62" t="s">
        <v>117</v>
      </c>
      <c r="J15" s="62" t="s">
        <v>116</v>
      </c>
      <c r="K15" s="62" t="s">
        <v>73</v>
      </c>
    </row>
    <row r="16" spans="1:15" ht="17.100000000000001" customHeight="1" x14ac:dyDescent="0.25">
      <c r="A16" s="46"/>
      <c r="B16" s="38" t="str">
        <f>(IF($C$3=0,"",IF($C$3="A",Tablolar!B34,IF($C$3="B",Tablolar!B70, IF(OR($C$3="C",$C$3="Ç"),Tablolar!B119, IF($C$3="D",Tablolar!B155, IF($C$3="E",Tablolar!B192, IF($C$3="F",Tablolar!B228,0))))))))</f>
        <v/>
      </c>
      <c r="C16" s="39">
        <f>(IF($C$3=0,0,VLOOKUP(B16,IF($C$3="A",Tablolar!$B$34:$C$66,IF($C$3="B",Tablolar!$B$70:$C$113, IF(OR($C$3="C",$C$3="Ç"),Tablolar!$B$119:$C$150, IF($C$3="D",Tablolar!$B$155:$C$186, IF($C$3="E",Tablolar!$B$192:$C$223, IF($C$3="F",Tablolar!$B$228:$C$259,Tablolar!$B$264:$C$295)))))),2,FALSE)))*IF(Tablolar!A34=TRUE,1,0)</f>
        <v>0</v>
      </c>
      <c r="D16" s="40"/>
      <c r="E16" s="41" t="str">
        <f>(IF($C$3=0,"",IF($C$3="A",Tablolar!B34,IF($C$3="B",Tablolar!B70, IF(OR($C$3="C",$C$3="Ç"),Tablolar!B119, IF($C$3="D",Tablolar!B155, IF($C$3="E",Tablolar!B192, IF($C$3="F",Tablolar!B228,0))))))))</f>
        <v/>
      </c>
      <c r="F16" s="42"/>
      <c r="G16" s="42"/>
      <c r="H16" s="43">
        <f>IF(AND(Tablolar!D34=TRUE,F16=0),IF(Tablolar!D34=TRUE,VLOOKUP(E16,IF($C$3="A",Tablolar!$E$34:$H$66,IF($C$3="B",Tablolar!$E$70:$H$113,IF(OR($C$3="C",$C$3="Ç"),Tablolar!$E$119:$H$150,IF($C$3="D",Tablolar!$E$155:$H$186,IF($C$3="E",Tablolar!$E$192:$H$223,IF($C$3="F",Tablolar!$E$228:$H$259,Tablolar!$E$266:$H$295)))))),4,FALSE),0),(IF(OR($C$3=0,F16=0),0,VLOOKUP(E16,IF($C$3="A",Tablolar!$E$34:$H$66,IF($C$3="B",Tablolar!$E$70:$H$113,IF(OR($C$3="C",$C$3="Ç"),Tablolar!$E$119:$H$150,IF($C$3="D",Tablolar!$E$155:$H$186,IF($C$3="E",Tablolar!$E$192:$H$223,IF($C$3="F",Tablolar!$E$228:$H$259,Tablolar!$E$264:$H$295)))))),IF(G16/F16&lt;0.15,2,IF(AND(G16/F16&gt;=0.15,G16/F16&lt;0.3),3,IF(G16/F16&gt;=0.3,4,0))),FALSE))))</f>
        <v>0</v>
      </c>
      <c r="I16" s="41" t="str">
        <f>(IF($C$3=0,"",IF($C$3="A",Tablolar!B34,IF($C$3="B",Tablolar!B70, IF(OR($C$3="C",$C$3="Ç"),Tablolar!B119, IF($C$3="D",Tablolar!B155, IF($C$3="E",Tablolar!B192, IF($C$3="F",Tablolar!B228,0))))))))</f>
        <v/>
      </c>
      <c r="J16" s="44"/>
      <c r="K16" s="45">
        <f>IF(J16="TAM", IF($C$3="A",Tablolar!K34, IF($C$3="B",Tablolar!K70, IF(OR($C$3="C",$C$3="Ç"),Tablolar!K119, IF($C$3="D",Tablolar!K155, IF($C$3="E",Tablolar!K192, IF($C$3="F",Tablolar!K228, Tablolar!K160)))))), IF(J16="LOKAL", IF($C$3="A",Tablolar!L34, IF($C$3="B",Tablolar!L70, IF(OR($C$3="C",$C$3="Ç"),Tablolar!L119, IF($C$3="D",Tablolar!L155, IF($C$3="E",Tablolar!L192, IF($C$3="F",Tablolar!L228, Tablolar!L264)))))),0))</f>
        <v>0</v>
      </c>
    </row>
    <row r="17" spans="1:13" ht="17.100000000000001" customHeight="1" x14ac:dyDescent="0.25">
      <c r="A17" s="20"/>
      <c r="B17" s="21" t="str">
        <f>(IF($C$3=0,"",IF($C$3="A",Tablolar!B35,IF($C$3="B",Tablolar!B71, IF(OR($C$3="C",$C$3="Ç"),Tablolar!B120, IF($C$3="D",Tablolar!B156, IF($C$3="E",Tablolar!B193, IF($C$3="F",Tablolar!B229,0))))))))</f>
        <v/>
      </c>
      <c r="C17" s="24">
        <f>(IF($C$3=0,0,VLOOKUP(B17,IF($C$3="A",Tablolar!$B$34:$C$66,IF($C$3="B",Tablolar!$B$70:$C$113, IF(OR($C$3="C",$C$3="Ç"),Tablolar!$B$119:$C$150, IF($C$3="D",Tablolar!$B$155:$C$186, IF($C$3="E",Tablolar!$B$192:$C$223, IF($C$3="F",Tablolar!$B$228:$C$259,Tablolar!$B$264:$C$295)))))),2,FALSE)))*IF(Tablolar!A35=TRUE,1,0)</f>
        <v>0</v>
      </c>
      <c r="D17" s="16"/>
      <c r="E17" s="9" t="str">
        <f>(IF($C$3=0,"",IF($C$3="A",Tablolar!B35,IF($C$3="B",Tablolar!B71, IF(OR($C$3="C",$C$3="Ç"),Tablolar!B120, IF($C$3="D",Tablolar!B156, IF($C$3="E",Tablolar!B193, IF($C$3="F",Tablolar!B229,0))))))))</f>
        <v/>
      </c>
      <c r="F17" s="26"/>
      <c r="G17" s="26"/>
      <c r="H17" s="25">
        <f>IF(AND(Tablolar!D35=TRUE,F17=0),IF(Tablolar!D35=TRUE,VLOOKUP(E17,IF($C$3="A",Tablolar!$E$34:$H$66,IF($C$3="B",Tablolar!$E$70:$H$113,IF(OR($C$3="C",$C$3="Ç"),Tablolar!$E$119:$H$150,IF($C$3="D",Tablolar!$E$155:$H$186,IF($C$3="E",Tablolar!$E$192:$H$223,IF($C$3="F",Tablolar!$E$228:$H$259,Tablolar!$E$266:$H$295)))))),4,FALSE),0),(IF(OR($C$3=0,F17=0),0,VLOOKUP(E17,IF($C$3="A",Tablolar!$E$34:$H$66,IF($C$3="B",Tablolar!$E$70:$H$113,IF(OR($C$3="C",$C$3="Ç"),Tablolar!$E$119:$H$150,IF($C$3="D",Tablolar!$E$155:$H$186,IF($C$3="E",Tablolar!$E$192:$H$223,IF($C$3="F",Tablolar!$E$228:$H$259,Tablolar!$E$264:$H$295)))))),IF(G17/F17&lt;0.15,2,IF(AND(G17/F17&gt;=0.15,G17/F17&lt;0.3),3,IF(G17/F17&gt;=0.3,4,0))),FALSE))))</f>
        <v>0</v>
      </c>
      <c r="I17" s="9" t="str">
        <f>(IF($C$3=0,"",IF($C$3="A",Tablolar!B35,IF($C$3="B",Tablolar!B71, IF(OR($C$3="C",$C$3="Ç"),Tablolar!B120, IF($C$3="D",Tablolar!B156, IF($C$3="E",Tablolar!B193, IF($C$3="F",Tablolar!B229,0))))))))</f>
        <v/>
      </c>
      <c r="J17" s="23"/>
      <c r="K17" s="17">
        <f>IF(J17="TAM", IF($C$3="A",Tablolar!K35, IF($C$3="B",Tablolar!K71, IF(OR($C$3="C",$C$3="Ç"),Tablolar!K120, IF($C$3="D",Tablolar!K156, IF($C$3="E",Tablolar!K193, IF($C$3="F",Tablolar!K229, Tablolar!K161)))))), IF(J17="LOKAL", IF($C$3="A",Tablolar!L35, IF($C$3="B",Tablolar!L71, IF(OR($C$3="C",$C$3="Ç"),Tablolar!L120, IF($C$3="D",Tablolar!L156, IF($C$3="E",Tablolar!L193, IF($C$3="F",Tablolar!L229, Tablolar!L265)))))),0))</f>
        <v>0</v>
      </c>
    </row>
    <row r="18" spans="1:13" ht="17.100000000000001" customHeight="1" x14ac:dyDescent="0.25">
      <c r="A18" s="37"/>
      <c r="B18" s="38" t="str">
        <f>(IF($C$3=0,"",IF($C$3="A",Tablolar!B36,IF($C$3="B",Tablolar!B72, IF(OR($C$3="C",$C$3="Ç"),Tablolar!B121, IF($C$3="D",Tablolar!B157, IF($C$3="E",Tablolar!B194, IF($C$3="F",Tablolar!B230,0))))))))</f>
        <v/>
      </c>
      <c r="C18" s="39">
        <f>(IF($C$3=0,0,VLOOKUP(B18,IF($C$3="A",Tablolar!$B$34:$C$66,IF($C$3="B",Tablolar!$B$70:$C$113, IF(OR($C$3="C",$C$3="Ç"),Tablolar!$B$119:$C$150, IF($C$3="D",Tablolar!$B$155:$C$186, IF($C$3="E",Tablolar!$B$192:$C$223, IF($C$3="F",Tablolar!$B$228:$C$259,Tablolar!$B$264:$C$295)))))),2,FALSE)))*IF(Tablolar!A36=TRUE,1,0)</f>
        <v>0</v>
      </c>
      <c r="D18" s="40"/>
      <c r="E18" s="41" t="str">
        <f>(IF($C$3=0,"",IF($C$3="A",Tablolar!B36,IF($C$3="B",Tablolar!B72, IF(OR($C$3="C",$C$3="Ç"),Tablolar!B121, IF($C$3="D",Tablolar!B157, IF($C$3="E",Tablolar!B194, IF($C$3="F",Tablolar!B230,0))))))))</f>
        <v/>
      </c>
      <c r="F18" s="42"/>
      <c r="G18" s="42"/>
      <c r="H18" s="43">
        <f>IF(AND(Tablolar!D36=TRUE,F18=0),IF(Tablolar!D36=TRUE,VLOOKUP(E18,IF($C$3="A",Tablolar!$E$34:$H$66,IF($C$3="B",Tablolar!$E$70:$H$113,IF(OR($C$3="C",$C$3="Ç"),Tablolar!$E$119:$H$150,IF($C$3="D",Tablolar!$E$155:$H$186,IF($C$3="E",Tablolar!$E$192:$H$223,IF($C$3="F",Tablolar!$E$228:$H$259,Tablolar!$E$264:$H$295)))))),4,FALSE),0),(IF(OR($C$3=0,F18=0),0,VLOOKUP(E18,IF($C$3="A",Tablolar!$E$34:$H$66,IF($C$3="B",Tablolar!$E$70:$H$113,IF(OR($C$3="C",$C$3="Ç"),Tablolar!$E$119:$H$150,IF($C$3="D",Tablolar!$E$155:$H$186,IF($C$3="E",Tablolar!$E$192:$H$223,IF($C$3="F",Tablolar!$E$228:$H$259,Tablolar!$E$264:$H$295)))))),IF(G18/F18&lt;0.15,2,IF(AND(G18/F18&gt;=0.15,G18/F18&lt;0.3),3,IF(G18/F18&gt;=0.3,4,0))),FALSE))))</f>
        <v>0</v>
      </c>
      <c r="I18" s="41" t="str">
        <f>(IF($C$3=0,"",IF($C$3="A",Tablolar!B36,IF($C$3="B",Tablolar!B72, IF(OR($C$3="C",$C$3="Ç"),Tablolar!B121, IF($C$3="D",Tablolar!B157, IF($C$3="E",Tablolar!B194, IF($C$3="F",Tablolar!B230,0))))))))</f>
        <v/>
      </c>
      <c r="J18" s="44"/>
      <c r="K18" s="45">
        <f>IF(J18="TAM", IF($C$3="A",Tablolar!K36, IF($C$3="B",Tablolar!K72, IF(OR($C$3="C",$C$3="Ç"),Tablolar!K121, IF($C$3="D",Tablolar!K157, IF($C$3="E",Tablolar!K194, IF($C$3="F",Tablolar!K230, Tablolar!K162)))))), IF(J18="LOKAL", IF($C$3="A",Tablolar!L36, IF($C$3="B",Tablolar!L72, IF(OR($C$3="C",$C$3="Ç"),Tablolar!L121, IF($C$3="D",Tablolar!L157, IF($C$3="E",Tablolar!L194, IF($C$3="F",Tablolar!L230, Tablolar!L266)))))),0))</f>
        <v>0</v>
      </c>
      <c r="M18" s="18" t="e">
        <f>IF(C3=”B”, Tablolar!$E$70:$H$113,Tablolar!$E$119:$H$150)</f>
        <v>#NAME?</v>
      </c>
    </row>
    <row r="19" spans="1:13" ht="17.100000000000001" customHeight="1" x14ac:dyDescent="0.25">
      <c r="A19" s="20"/>
      <c r="B19" s="21" t="str">
        <f>(IF($C$3=0,"",IF($C$3="A",Tablolar!B37,IF($C$3="B",Tablolar!B73, IF(OR($C$3="C",$C$3="Ç"),Tablolar!B122, IF($C$3="D",Tablolar!B158, IF($C$3="E",Tablolar!B195, IF($C$3="F",Tablolar!B231,0))))))))</f>
        <v/>
      </c>
      <c r="C19" s="24">
        <f>(IF($C$3=0,0,VLOOKUP(B19,IF($C$3="A",Tablolar!$B$34:$C$66,IF($C$3="B",Tablolar!$B$70:$C$113, IF(OR($C$3="C",$C$3="Ç"),Tablolar!$B$119:$C$150, IF($C$3="D",Tablolar!$B$155:$C$186, IF($C$3="E",Tablolar!$B$192:$C$223, IF($C$3="F",Tablolar!$B$228:$C$259,Tablolar!$B$264:$C$295)))))),2,FALSE)))*IF(Tablolar!A37=TRUE,1,0)</f>
        <v>0</v>
      </c>
      <c r="D19" s="16"/>
      <c r="E19" s="9" t="str">
        <f>(IF($C$3=0,"",IF($C$3="A",Tablolar!B37,IF($C$3="B",Tablolar!B73, IF(OR($C$3="C",$C$3="Ç"),Tablolar!B122, IF($C$3="D",Tablolar!B158, IF($C$3="E",Tablolar!B195, IF($C$3="F",Tablolar!B231,0))))))))</f>
        <v/>
      </c>
      <c r="F19" s="26"/>
      <c r="G19" s="26"/>
      <c r="H19" s="25">
        <f>IF(AND(Tablolar!D37=TRUE,F19=0),IF(Tablolar!D37=TRUE,VLOOKUP(E19,IF($C$3="A",Tablolar!$E$34:$H$66,IF($C$3="B",Tablolar!$E$70:$H$113,IF(OR($C$3="C",$C$3="Ç"),Tablolar!$E$119:$H$150,IF($C$3="D",Tablolar!$E$155:$H$186,IF($C$3="E",Tablolar!$E$192:$H$223,IF($C$3="F",Tablolar!$E$228:$H$259,Tablolar!$E$264:$H$295)))))),4,FALSE),0),(IF(OR($C$3=0,F19=0),0,VLOOKUP(E19,IF($C$3="A",Tablolar!$E$34:$H$66,IF($C$3="B",Tablolar!$E$70:$H$113,IF(OR($C$3="C",$C$3="Ç"),Tablolar!$E$119:$H$150,IF($C$3="D",Tablolar!$E$155:$H$186,IF($C$3="E",Tablolar!$E$192:$H$223,IF($C$3="F",Tablolar!$E$228:$H$259,Tablolar!$E$264:$H$295)))))),IF(G19/F19&lt;0.15,2,IF(AND(G19/F19&gt;=0.15,G19/F19&lt;0.3),3,IF(G19/F19&gt;=0.3,4,0))),FALSE))))</f>
        <v>0</v>
      </c>
      <c r="I19" s="9" t="str">
        <f>(IF($C$3=0,"",IF($C$3="A",Tablolar!B37,IF($C$3="B",Tablolar!B73, IF(OR($C$3="C",$C$3="Ç"),Tablolar!B122, IF($C$3="D",Tablolar!B158, IF($C$3="E",Tablolar!B195, IF($C$3="F",Tablolar!B231,0))))))))</f>
        <v/>
      </c>
      <c r="J19" s="23"/>
      <c r="K19" s="17">
        <f>IF(J19="TAM", IF($C$3="A",Tablolar!K37, IF($C$3="B",Tablolar!K73, IF(OR($C$3="C",$C$3="Ç"),Tablolar!K122, IF($C$3="D",Tablolar!K158, IF($C$3="E",Tablolar!K195, IF($C$3="F",Tablolar!K231, Tablolar!K163)))))), IF(J19="LOKAL", IF($C$3="A",Tablolar!L37, IF($C$3="B",Tablolar!L73, IF(OR($C$3="C",$C$3="Ç"),Tablolar!L122, IF($C$3="D",Tablolar!L158, IF($C$3="E",Tablolar!L195, IF($C$3="F",Tablolar!L231, Tablolar!L267)))))),0))</f>
        <v>0</v>
      </c>
      <c r="M19" s="22" t="e">
        <f>IF(F16/$F$3&lt;0.15,2,IF(AND(F16/$F$3&gt;=0.15,F16/$F$3&lt;0.3),3,IF(F16/$F$3&gt;=0.3,4,0)))</f>
        <v>#DIV/0!</v>
      </c>
    </row>
    <row r="20" spans="1:13" ht="17.100000000000001" customHeight="1" x14ac:dyDescent="0.25">
      <c r="A20" s="37"/>
      <c r="B20" s="38" t="str">
        <f>(IF($C$3=0,"",IF($C$3="A",Tablolar!B38,IF($C$3="B",Tablolar!B74, IF(OR($C$3="C",$C$3="Ç"),Tablolar!B123, IF($C$3="D",Tablolar!B159, IF($C$3="E",Tablolar!B196, IF($C$3="F",Tablolar!B232,0))))))))</f>
        <v/>
      </c>
      <c r="C20" s="39">
        <f>(IF($C$3=0,0,VLOOKUP(B20,IF($C$3="A",Tablolar!$B$34:$C$66,IF($C$3="B",Tablolar!$B$70:$C$113, IF(OR($C$3="C",$C$3="Ç"),Tablolar!$B$119:$C$150, IF($C$3="D",Tablolar!$B$155:$C$186, IF($C$3="E",Tablolar!$B$192:$C$223, IF($C$3="F",Tablolar!$B$228:$C$259,Tablolar!$B$264:$C$295)))))),2,FALSE)))*IF(Tablolar!A38=TRUE,1,0)</f>
        <v>0</v>
      </c>
      <c r="D20" s="40"/>
      <c r="E20" s="41" t="str">
        <f>(IF($C$3=0,"",IF($C$3="A",Tablolar!B38,IF($C$3="B",Tablolar!B74, IF(OR($C$3="C",$C$3="Ç"),Tablolar!B123, IF($C$3="D",Tablolar!B159, IF($C$3="E",Tablolar!B196, IF($C$3="F",Tablolar!B232,0))))))))</f>
        <v/>
      </c>
      <c r="F20" s="42"/>
      <c r="G20" s="42"/>
      <c r="H20" s="43">
        <f>IF(AND(Tablolar!D38=TRUE,F20=0),IF(Tablolar!D38=TRUE,VLOOKUP(E20,IF($C$3="A",Tablolar!$E$34:$H$66,IF($C$3="B",Tablolar!$E$70:$H$113,IF(OR($C$3="C",$C$3="Ç"),Tablolar!$E$119:$H$150,IF($C$3="D",Tablolar!$E$155:$H$186,IF($C$3="E",Tablolar!$E$192:$H$223,IF($C$3="F",Tablolar!$E$228:$H$259,Tablolar!$E$264:$H$295)))))),4,FALSE),0),(IF(OR($C$3=0,F20=0),0,VLOOKUP(E20,IF($C$3="A",Tablolar!$E$34:$H$66,IF($C$3="B",Tablolar!$E$70:$H$113,IF(OR($C$3="C",$C$3="Ç"),Tablolar!$E$119:$H$150,IF($C$3="D",Tablolar!$E$155:$H$186,IF($C$3="E",Tablolar!$E$192:$H$223,IF($C$3="F",Tablolar!$E$228:$H$259,Tablolar!$E$264:$H$295)))))),IF(G20/F20&lt;0.15,2,IF(AND(G20/F20&gt;=0.15,G20/F20&lt;0.3),3,IF(G20/F20&gt;=0.3,4,0))),FALSE))))</f>
        <v>0</v>
      </c>
      <c r="I20" s="41" t="str">
        <f>(IF($C$3=0,"",IF($C$3="A",Tablolar!B38,IF($C$3="B",Tablolar!B74, IF(OR($C$3="C",$C$3="Ç"),Tablolar!B123, IF($C$3="D",Tablolar!B159, IF($C$3="E",Tablolar!B196, IF($C$3="F",Tablolar!B232,0))))))))</f>
        <v/>
      </c>
      <c r="J20" s="44"/>
      <c r="K20" s="45">
        <f>IF(J20="TAM", IF($C$3="A",Tablolar!K38, IF($C$3="B",Tablolar!K74, IF(OR($C$3="C",$C$3="Ç"),Tablolar!K123, IF($C$3="D",Tablolar!K159, IF($C$3="E",Tablolar!K196, IF($C$3="F",Tablolar!K232, Tablolar!K164)))))), IF(J20="LOKAL", IF($C$3="A",Tablolar!L38, IF($C$3="B",Tablolar!L74, IF(OR($C$3="C",$C$3="Ç"),Tablolar!L123, IF($C$3="D",Tablolar!L159, IF($C$3="E",Tablolar!L196, IF($C$3="F",Tablolar!L232, Tablolar!L268)))))),0))</f>
        <v>0</v>
      </c>
    </row>
    <row r="21" spans="1:13" ht="17.100000000000001" customHeight="1" x14ac:dyDescent="0.25">
      <c r="A21" s="20"/>
      <c r="B21" s="21" t="str">
        <f>(IF($C$3=0,"",IF($C$3="A",Tablolar!B39,IF($C$3="B",Tablolar!B75, IF(OR($C$3="C",$C$3="Ç"),Tablolar!B124, IF($C$3="D",Tablolar!B160, IF($C$3="E",Tablolar!B197, IF($C$3="F",Tablolar!B233,0))))))))</f>
        <v/>
      </c>
      <c r="C21" s="24">
        <f>(IF($C$3=0,0,VLOOKUP(B21,IF($C$3="A",Tablolar!$B$34:$C$66,IF($C$3="B",Tablolar!$B$70:$C$113, IF(OR($C$3="C",$C$3="Ç"),Tablolar!$B$119:$C$150, IF($C$3="D",Tablolar!$B$155:$C$186, IF($C$3="E",Tablolar!$B$192:$C$223, IF($C$3="F",Tablolar!$B$228:$C$259,Tablolar!$B$264:$C$295)))))),2,FALSE)))*IF(Tablolar!A39=TRUE,1,0)</f>
        <v>0</v>
      </c>
      <c r="D21" s="16"/>
      <c r="E21" s="9" t="str">
        <f>(IF($C$3=0,"",IF($C$3="A",Tablolar!B39,IF($C$3="B",Tablolar!B75, IF(OR($C$3="C",$C$3="Ç"),Tablolar!B124, IF($C$3="D",Tablolar!B160, IF($C$3="E",Tablolar!B197, IF($C$3="F",Tablolar!B233,0))))))))</f>
        <v/>
      </c>
      <c r="F21" s="26"/>
      <c r="G21" s="26"/>
      <c r="H21" s="25">
        <f>IF(AND(Tablolar!D39=TRUE,F21=0),IF(Tablolar!D39=TRUE,VLOOKUP(E21,IF($C$3="A",Tablolar!$E$34:$H$66,IF($C$3="B",Tablolar!$E$70:$H$113,IF(OR($C$3="C",$C$3="Ç"),Tablolar!$E$119:$H$150,IF($C$3="D",Tablolar!$E$155:$H$186,IF($C$3="E",Tablolar!$E$192:$H$223,IF($C$3="F",Tablolar!$E$228:$H$259,Tablolar!$E$264:$H$295)))))),4,FALSE),0),(IF(OR($C$3=0,F21=0),0,VLOOKUP(E21,IF($C$3="A",Tablolar!$E$34:$H$66,IF($C$3="B",Tablolar!$E$70:$H$113,IF(OR($C$3="C",$C$3="Ç"),Tablolar!$E$119:$H$150,IF($C$3="D",Tablolar!$E$155:$H$186,IF($C$3="E",Tablolar!$E$192:$H$223,IF($C$3="F",Tablolar!$E$228:$H$259,Tablolar!$E$264:$H$295)))))),IF(G21/F21&lt;0.15,2,IF(AND(G21/F21&gt;=0.15,G21/F21&lt;0.3),3,IF(G21/F21&gt;=0.3,4,0))),FALSE))))</f>
        <v>0</v>
      </c>
      <c r="I21" s="9" t="str">
        <f>(IF($C$3=0,"",IF($C$3="A",Tablolar!B39,IF($C$3="B",Tablolar!B75, IF(OR($C$3="C",$C$3="Ç"),Tablolar!B124, IF($C$3="D",Tablolar!B160, IF($C$3="E",Tablolar!B197, IF($C$3="F",Tablolar!B233,0))))))))</f>
        <v/>
      </c>
      <c r="J21" s="23"/>
      <c r="K21" s="17">
        <f>IF(J21="TAM", IF($C$3="A",Tablolar!K39, IF($C$3="B",Tablolar!K75, IF(OR($C$3="C",$C$3="Ç"),Tablolar!K124, IF($C$3="D",Tablolar!K160, IF($C$3="E",Tablolar!K197, IF($C$3="F",Tablolar!K233, Tablolar!K165)))))), IF(J21="LOKAL", IF($C$3="A",Tablolar!L39, IF($C$3="B",Tablolar!L75, IF(OR($C$3="C",$C$3="Ç"),Tablolar!L124, IF($C$3="D",Tablolar!L160, IF($C$3="E",Tablolar!L197, IF($C$3="F",Tablolar!L233, Tablolar!L269)))))),0))</f>
        <v>0</v>
      </c>
    </row>
    <row r="22" spans="1:13" ht="17.100000000000001" customHeight="1" x14ac:dyDescent="0.25">
      <c r="A22" s="37"/>
      <c r="B22" s="38" t="str">
        <f>(IF($C$3=0,"",IF($C$3="A",Tablolar!B40,IF($C$3="B",Tablolar!B76, IF(OR($C$3="C",$C$3="Ç"),Tablolar!B125, IF($C$3="D",Tablolar!B161, IF($C$3="E",Tablolar!B198, IF($C$3="F",Tablolar!B234,0))))))))</f>
        <v/>
      </c>
      <c r="C22" s="39">
        <f>(IF($C$3=0,0,VLOOKUP(B22,IF($C$3="A",Tablolar!$B$34:$C$66,IF($C$3="B",Tablolar!$B$70:$C$113, IF(OR($C$3="C",$C$3="Ç"),Tablolar!$B$119:$C$150, IF($C$3="D",Tablolar!$B$155:$C$186, IF($C$3="E",Tablolar!$B$192:$C$223, IF($C$3="F",Tablolar!$B$228:$C$259,Tablolar!$B$264:$C$295)))))),2,FALSE)))*IF(Tablolar!A40=TRUE,1,0)</f>
        <v>0</v>
      </c>
      <c r="D22" s="40"/>
      <c r="E22" s="41" t="str">
        <f>(IF($C$3=0,"",IF($C$3="A",Tablolar!B40,IF($C$3="B",Tablolar!B76, IF(OR($C$3="C",$C$3="Ç"),Tablolar!B125, IF($C$3="D",Tablolar!B161, IF($C$3="E",Tablolar!B198, IF($C$3="F",Tablolar!B234,0))))))))</f>
        <v/>
      </c>
      <c r="F22" s="42"/>
      <c r="G22" s="42"/>
      <c r="H22" s="43">
        <f>IF(AND(Tablolar!D40=TRUE,F22=0),IF(Tablolar!D40=TRUE,VLOOKUP(E22,IF($C$3="A",Tablolar!$E$34:$H$66,IF($C$3="B",Tablolar!$E$70:$H$113,IF(OR($C$3="C",$C$3="Ç"),Tablolar!$E$119:$H$150,IF($C$3="D",Tablolar!$E$155:$H$186,IF($C$3="E",Tablolar!$E$192:$H$223,IF($C$3="F",Tablolar!$E$228:$H$259,Tablolar!$E$264:$H$295)))))),4,FALSE),0),(IF(OR($C$3=0,F22=0),0,VLOOKUP(E22,IF($C$3="A",Tablolar!$E$34:$H$66,IF($C$3="B",Tablolar!$E$70:$H$113,IF(OR($C$3="C",$C$3="Ç"),Tablolar!$E$119:$H$150,IF($C$3="D",Tablolar!$E$155:$H$186,IF($C$3="E",Tablolar!$E$192:$H$223,IF($C$3="F",Tablolar!$E$228:$H$259,Tablolar!$E$264:$H$295)))))),IF(G22/F22&lt;0.15,2,IF(AND(G22/F22&gt;=0.15,G22/F22&lt;0.3),3,IF(G22/F22&gt;=0.3,4,0))),FALSE))))</f>
        <v>0</v>
      </c>
      <c r="I22" s="41" t="str">
        <f>(IF($C$3=0,"",IF($C$3="A",Tablolar!B40,IF($C$3="B",Tablolar!B76, IF(OR($C$3="C",$C$3="Ç"),Tablolar!B125, IF($C$3="D",Tablolar!B161, IF($C$3="E",Tablolar!B198, IF($C$3="F",Tablolar!B234,0))))))))</f>
        <v/>
      </c>
      <c r="J22" s="44"/>
      <c r="K22" s="45">
        <f>IF(J22="TAM", IF($C$3="A",Tablolar!K40, IF($C$3="B",Tablolar!K76, IF(OR($C$3="C",$C$3="Ç"),Tablolar!K125, IF($C$3="D",Tablolar!K161, IF($C$3="E",Tablolar!K198, IF($C$3="F",Tablolar!K234, Tablolar!K166)))))), IF(J22="LOKAL", IF($C$3="A",Tablolar!L40, IF($C$3="B",Tablolar!L76, IF(OR($C$3="C",$C$3="Ç"),Tablolar!L125, IF($C$3="D",Tablolar!L161, IF($C$3="E",Tablolar!L198, IF($C$3="F",Tablolar!L234, Tablolar!L270)))))),0))</f>
        <v>0</v>
      </c>
    </row>
    <row r="23" spans="1:13" ht="17.100000000000001" customHeight="1" x14ac:dyDescent="0.25">
      <c r="A23" s="20"/>
      <c r="B23" s="21" t="str">
        <f>(IF($C$3=0,"",IF($C$3="A",Tablolar!B41,IF($C$3="B",Tablolar!B77, IF(OR($C$3="C",$C$3="Ç"),Tablolar!B126, IF($C$3="D",Tablolar!B162, IF($C$3="E",Tablolar!B199, IF($C$3="F",Tablolar!B235,0))))))))</f>
        <v/>
      </c>
      <c r="C23" s="24">
        <f>(IF($C$3=0,0,VLOOKUP(B23,IF($C$3="A",Tablolar!$B$34:$C$66,IF($C$3="B",Tablolar!$B$70:$C$113, IF(OR($C$3="C",$C$3="Ç"),Tablolar!$B$119:$C$150, IF($C$3="D",Tablolar!$B$155:$C$186, IF($C$3="E",Tablolar!$B$192:$C$223, IF($C$3="F",Tablolar!$B$228:$C$259,Tablolar!$B$264:$C$295)))))),2,FALSE)))*IF(Tablolar!A41=TRUE,1,0)</f>
        <v>0</v>
      </c>
      <c r="D23" s="16"/>
      <c r="E23" s="9" t="str">
        <f>(IF($C$3=0,"",IF($C$3="A",Tablolar!B41,IF($C$3="B",Tablolar!B77, IF(OR($C$3="C",$C$3="Ç"),Tablolar!B126, IF($C$3="D",Tablolar!B162, IF($C$3="E",Tablolar!B199, IF($C$3="F",Tablolar!B235,0))))))))</f>
        <v/>
      </c>
      <c r="F23" s="26"/>
      <c r="G23" s="26"/>
      <c r="H23" s="25">
        <f>IF(AND(Tablolar!D41=TRUE,F23=0),IF(Tablolar!D41=TRUE,VLOOKUP(E23,IF($C$3="A",Tablolar!$E$34:$H$66,IF($C$3="B",Tablolar!$E$70:$H$113,IF(OR($C$3="C",$C$3="Ç"),Tablolar!$E$119:$H$150,IF($C$3="D",Tablolar!$E$155:$H$186,IF($C$3="E",Tablolar!$E$192:$H$223,IF($C$3="F",Tablolar!$E$228:$H$259,Tablolar!$E$264:$H$295)))))),4,FALSE),0),(IF(OR($C$3=0,F23=0),0,VLOOKUP(E23,IF($C$3="A",Tablolar!$E$34:$H$66,IF($C$3="B",Tablolar!$E$70:$H$113,IF(OR($C$3="C",$C$3="Ç"),Tablolar!$E$119:$H$150,IF($C$3="D",Tablolar!$E$155:$H$186,IF($C$3="E",Tablolar!$E$192:$H$223,IF($C$3="F",Tablolar!$E$228:$H$259,Tablolar!$E$264:$H$295)))))),IF(G23/F23&lt;0.15,2,IF(AND(G23/F23&gt;=0.15,G23/F23&lt;0.3),3,IF(G23/F23&gt;=0.3,4,0))),FALSE))))</f>
        <v>0</v>
      </c>
      <c r="I23" s="9" t="str">
        <f>(IF($C$3=0,"",IF($C$3="A",Tablolar!B41,IF($C$3="B",Tablolar!B77, IF(OR($C$3="C",$C$3="Ç"),Tablolar!B126, IF($C$3="D",Tablolar!B162, IF($C$3="E",Tablolar!B199, IF($C$3="F",Tablolar!B235,0))))))))</f>
        <v/>
      </c>
      <c r="J23" s="23"/>
      <c r="K23" s="17">
        <f>IF(J23="TAM", IF($C$3="A",Tablolar!K41, IF($C$3="B",Tablolar!K77, IF(OR($C$3="C",$C$3="Ç"),Tablolar!K126, IF($C$3="D",Tablolar!K162, IF($C$3="E",Tablolar!K199, IF($C$3="F",Tablolar!K235, Tablolar!K167)))))), IF(J23="LOKAL", IF($C$3="A",Tablolar!L41, IF($C$3="B",Tablolar!L77, IF(OR($C$3="C",$C$3="Ç"),Tablolar!L126, IF($C$3="D",Tablolar!L162, IF($C$3="E",Tablolar!L199, IF($C$3="F",Tablolar!L235, Tablolar!L271)))))),0))</f>
        <v>0</v>
      </c>
    </row>
    <row r="24" spans="1:13" ht="17.100000000000001" customHeight="1" x14ac:dyDescent="0.25">
      <c r="A24" s="37"/>
      <c r="B24" s="38" t="str">
        <f>(IF($C$3=0,"",IF($C$3="A",Tablolar!B42,IF($C$3="B",Tablolar!B78, IF(OR($C$3="C",$C$3="Ç"),Tablolar!B127, IF($C$3="D",Tablolar!B163, IF($C$3="E",Tablolar!B200, IF($C$3="F",Tablolar!B236,0))))))))</f>
        <v/>
      </c>
      <c r="C24" s="39">
        <f>(IF($C$3=0,0,VLOOKUP(B24,IF($C$3="A",Tablolar!$B$34:$C$66,IF($C$3="B",Tablolar!$B$70:$C$113, IF(OR($C$3="C",$C$3="Ç"),Tablolar!$B$119:$C$150, IF($C$3="D",Tablolar!$B$155:$C$186, IF($C$3="E",Tablolar!$B$192:$C$223, IF($C$3="F",Tablolar!$B$228:$C$259,Tablolar!$B$264:$C$295)))))),2,FALSE)))*IF(Tablolar!A42=TRUE,1,0)</f>
        <v>0</v>
      </c>
      <c r="D24" s="40"/>
      <c r="E24" s="41" t="str">
        <f>(IF($C$3=0,"",IF($C$3="A",Tablolar!B42,IF($C$3="B",Tablolar!B78, IF(OR($C$3="C",$C$3="Ç"),Tablolar!B127, IF($C$3="D",Tablolar!B163, IF($C$3="E",Tablolar!B200, IF($C$3="F",Tablolar!B236,0))))))))</f>
        <v/>
      </c>
      <c r="F24" s="42"/>
      <c r="G24" s="42"/>
      <c r="H24" s="43">
        <f>IF(AND(Tablolar!D42=TRUE,F24=0),IF(Tablolar!D42=TRUE,VLOOKUP(E24,IF($C$3="A",Tablolar!$E$34:$H$66,IF($C$3="B",Tablolar!$E$70:$H$113,IF(OR($C$3="C",$C$3="Ç"),Tablolar!$E$119:$H$150,IF($C$3="D",Tablolar!$E$155:$H$186,IF($C$3="E",Tablolar!$E$192:$H$223,IF($C$3="F",Tablolar!$E$228:$H$259,Tablolar!$E$264:$H$295)))))),4,FALSE),0),(IF(OR($C$3=0,F24=0),0,VLOOKUP(E24,IF($C$3="A",Tablolar!$E$34:$H$66,IF($C$3="B",Tablolar!$E$70:$H$113,IF(OR($C$3="C",$C$3="Ç"),Tablolar!$E$119:$H$150,IF($C$3="D",Tablolar!$E$155:$H$186,IF($C$3="E",Tablolar!$E$192:$H$223,IF($C$3="F",Tablolar!$E$228:$H$259,Tablolar!$E$264:$H$295)))))),IF(G24/F24&lt;0.15,2,IF(AND(G24/F24&gt;=0.15,G24/F24&lt;0.3),3,IF(G24/F24&gt;=0.3,4,0))),FALSE))))</f>
        <v>0</v>
      </c>
      <c r="I24" s="41" t="str">
        <f>(IF($C$3=0,"",IF($C$3="A",Tablolar!B42,IF($C$3="B",Tablolar!B78, IF(OR($C$3="C",$C$3="Ç"),Tablolar!B127, IF($C$3="D",Tablolar!B163, IF($C$3="E",Tablolar!B200, IF($C$3="F",Tablolar!B236,0))))))))</f>
        <v/>
      </c>
      <c r="J24" s="44"/>
      <c r="K24" s="45">
        <f>IF(J24="TAM", IF($C$3="A",Tablolar!K42, IF($C$3="B",Tablolar!K78, IF(OR($C$3="C",$C$3="Ç"),Tablolar!K127, IF($C$3="D",Tablolar!K163, IF($C$3="E",Tablolar!K200, IF($C$3="F",Tablolar!K236, Tablolar!K168)))))), IF(J24="LOKAL", IF($C$3="A",Tablolar!L42, IF($C$3="B",Tablolar!L78, IF(OR($C$3="C",$C$3="Ç"),Tablolar!L127, IF($C$3="D",Tablolar!L163, IF($C$3="E",Tablolar!L200, IF($C$3="F",Tablolar!L236, Tablolar!L272)))))),0))</f>
        <v>0</v>
      </c>
    </row>
    <row r="25" spans="1:13" ht="17.100000000000001" customHeight="1" x14ac:dyDescent="0.25">
      <c r="A25" s="20"/>
      <c r="B25" s="21" t="str">
        <f>(IF($C$3=0,"",IF($C$3="A",Tablolar!B43,IF($C$3="B",Tablolar!B79, IF(OR($C$3="C",$C$3="Ç"),Tablolar!B128, IF($C$3="D",Tablolar!B164, IF($C$3="E",Tablolar!B201, IF($C$3="F",Tablolar!B237,0))))))))</f>
        <v/>
      </c>
      <c r="C25" s="24">
        <f>(IF($C$3=0,0,VLOOKUP(B25,IF($C$3="A",Tablolar!$B$34:$C$66,IF($C$3="B",Tablolar!$B$70:$C$113, IF(OR($C$3="C",$C$3="Ç"),Tablolar!$B$119:$C$150, IF($C$3="D",Tablolar!$B$155:$C$186, IF($C$3="E",Tablolar!$B$192:$C$223, IF($C$3="F",Tablolar!$B$228:$C$259,Tablolar!$B$264:$C$295)))))),2,FALSE)))*IF(Tablolar!A43=TRUE,1,0)</f>
        <v>0</v>
      </c>
      <c r="D25" s="16"/>
      <c r="E25" s="9" t="str">
        <f>(IF($C$3=0,"",IF($C$3="A",Tablolar!B43,IF($C$3="B",Tablolar!B79, IF(OR($C$3="C",$C$3="Ç"),Tablolar!B128, IF($C$3="D",Tablolar!B164, IF($C$3="E",Tablolar!B201, IF($C$3="F",Tablolar!B237,0))))))))</f>
        <v/>
      </c>
      <c r="F25" s="26"/>
      <c r="G25" s="26"/>
      <c r="H25" s="25">
        <f>IF(AND(Tablolar!D43=TRUE,F25=0),IF(Tablolar!D43=TRUE,VLOOKUP(E25,IF($C$3="A",Tablolar!$E$34:$H$66,IF($C$3="B",Tablolar!$E$70:$H$113,IF(OR($C$3="C",$C$3="Ç"),Tablolar!$E$119:$H$150,IF($C$3="D",Tablolar!$E$155:$H$186,IF($C$3="E",Tablolar!$E$192:$H$223,IF($C$3="F",Tablolar!$E$228:$H$259,Tablolar!$E$264:$H$295)))))),4,FALSE),0),(IF(OR($C$3=0,F25=0),0,VLOOKUP(E25,IF($C$3="A",Tablolar!$E$34:$H$66,IF($C$3="B",Tablolar!$E$70:$H$113,IF(OR($C$3="C",$C$3="Ç"),Tablolar!$E$119:$H$150,IF($C$3="D",Tablolar!$E$155:$H$186,IF($C$3="E",Tablolar!$E$192:$H$223,IF($C$3="F",Tablolar!$E$228:$H$259,Tablolar!$E$264:$H$295)))))),IF(G25/F25&lt;0.15,2,IF(AND(G25/F25&gt;=0.15,G25/F25&lt;0.3),3,IF(G25/F25&gt;=0.3,4,0))),FALSE))))</f>
        <v>0</v>
      </c>
      <c r="I25" s="9" t="str">
        <f>(IF($C$3=0,"",IF($C$3="A",Tablolar!B43,IF($C$3="B",Tablolar!B79, IF(OR($C$3="C",$C$3="Ç"),Tablolar!B128, IF($C$3="D",Tablolar!B164, IF($C$3="E",Tablolar!B201, IF($C$3="F",Tablolar!B237,0))))))))</f>
        <v/>
      </c>
      <c r="J25" s="23"/>
      <c r="K25" s="17">
        <f>IF(J25="TAM", IF($C$3="A",Tablolar!K43, IF($C$3="B",Tablolar!K79, IF(OR($C$3="C",$C$3="Ç"),Tablolar!K128, IF($C$3="D",Tablolar!K164, IF($C$3="E",Tablolar!K201, IF($C$3="F",Tablolar!K237, Tablolar!K169)))))), IF(J25="LOKAL", IF($C$3="A",Tablolar!L43, IF($C$3="B",Tablolar!L79, IF(OR($C$3="C",$C$3="Ç"),Tablolar!L128, IF($C$3="D",Tablolar!L164, IF($C$3="E",Tablolar!L201, IF($C$3="F",Tablolar!L237, Tablolar!L273)))))),0))</f>
        <v>0</v>
      </c>
    </row>
    <row r="26" spans="1:13" ht="17.100000000000001" customHeight="1" x14ac:dyDescent="0.25">
      <c r="A26" s="37"/>
      <c r="B26" s="38" t="str">
        <f>(IF($C$3=0,"",IF($C$3="A",Tablolar!B44,IF($C$3="B",Tablolar!B80, IF(OR($C$3="C",$C$3="Ç"),Tablolar!B129, IF($C$3="D",Tablolar!B165, IF($C$3="E",Tablolar!B202, IF($C$3="F",Tablolar!B238,0))))))))</f>
        <v/>
      </c>
      <c r="C26" s="39">
        <f>(IF($C$3=0,0,VLOOKUP(B26,IF($C$3="A",Tablolar!$B$34:$C$66,IF($C$3="B",Tablolar!$B$70:$C$113, IF(OR($C$3="C",$C$3="Ç"),Tablolar!$B$119:$C$150, IF($C$3="D",Tablolar!$B$155:$C$186, IF($C$3="E",Tablolar!$B$192:$C$223, IF($C$3="F",Tablolar!$B$228:$C$259,Tablolar!$B$264:$C$295)))))),2,FALSE)))*IF(Tablolar!A44=TRUE,1,0)</f>
        <v>0</v>
      </c>
      <c r="D26" s="40"/>
      <c r="E26" s="41" t="str">
        <f>(IF($C$3=0,"",IF($C$3="A",Tablolar!B44,IF($C$3="B",Tablolar!B80, IF(OR($C$3="C",$C$3="Ç"),Tablolar!B129, IF($C$3="D",Tablolar!B165, IF($C$3="E",Tablolar!B202, IF($C$3="F",Tablolar!B238,0))))))))</f>
        <v/>
      </c>
      <c r="F26" s="42"/>
      <c r="G26" s="42"/>
      <c r="H26" s="43">
        <f>IF(AND(Tablolar!D44=TRUE,F26=0),IF(Tablolar!D44=TRUE,VLOOKUP(E26,IF($C$3="A",Tablolar!$E$34:$H$66,IF($C$3="B",Tablolar!$E$70:$H$113,IF(OR($C$3="C",$C$3="Ç"),Tablolar!$E$119:$H$150,IF($C$3="D",Tablolar!$E$155:$H$186,IF($C$3="E",Tablolar!$E$192:$H$223,IF($C$3="F",Tablolar!$E$228:$H$259,Tablolar!$E$264:$H$295)))))),4,FALSE),0),(IF(OR($C$3=0,F26=0),0,VLOOKUP(E26,IF($C$3="A",Tablolar!$E$34:$H$66,IF($C$3="B",Tablolar!$E$70:$H$113,IF(OR($C$3="C",$C$3="Ç"),Tablolar!$E$119:$H$150,IF($C$3="D",Tablolar!$E$155:$H$186,IF($C$3="E",Tablolar!$E$192:$H$223,IF($C$3="F",Tablolar!$E$228:$H$259,Tablolar!$E$264:$H$295)))))),IF(G26/F26&lt;0.15,2,IF(AND(G26/F26&gt;=0.15,G26/F26&lt;0.3),3,IF(G26/F26&gt;=0.3,4,0))),FALSE))))</f>
        <v>0</v>
      </c>
      <c r="I26" s="41" t="str">
        <f>(IF($C$3=0,"",IF($C$3="A",Tablolar!B44,IF($C$3="B",Tablolar!B80, IF(OR($C$3="C",$C$3="Ç"),Tablolar!B129, IF($C$3="D",Tablolar!B165, IF($C$3="E",Tablolar!B202, IF($C$3="F",Tablolar!B238,0))))))))</f>
        <v/>
      </c>
      <c r="J26" s="44"/>
      <c r="K26" s="45">
        <f>IF(J26="TAM", IF($C$3="A",Tablolar!K44, IF($C$3="B",Tablolar!K80, IF(OR($C$3="C",$C$3="Ç"),Tablolar!K129, IF($C$3="D",Tablolar!K165, IF($C$3="E",Tablolar!K202, IF($C$3="F",Tablolar!K238, Tablolar!K170)))))), IF(J26="LOKAL", IF($C$3="A",Tablolar!L44, IF($C$3="B",Tablolar!L80, IF(OR($C$3="C",$C$3="Ç"),Tablolar!L129, IF($C$3="D",Tablolar!L165, IF($C$3="E",Tablolar!L202, IF($C$3="F",Tablolar!L238, Tablolar!L274)))))),0))</f>
        <v>0</v>
      </c>
    </row>
    <row r="27" spans="1:13" ht="17.100000000000001" customHeight="1" x14ac:dyDescent="0.25">
      <c r="A27" s="20"/>
      <c r="B27" s="21" t="str">
        <f>(IF($C$3=0,"",IF($C$3="A",Tablolar!B45,IF($C$3="B",Tablolar!B81, IF(OR($C$3="C",$C$3="Ç"),Tablolar!B130, IF($C$3="D",Tablolar!B166, IF($C$3="E",Tablolar!B203, IF($C$3="F",Tablolar!B239,0))))))))</f>
        <v/>
      </c>
      <c r="C27" s="24">
        <f>(IF($C$3=0,0,VLOOKUP(B27,IF($C$3="A",Tablolar!$B$34:$C$66,IF($C$3="B",Tablolar!$B$70:$C$113, IF(OR($C$3="C",$C$3="Ç"),Tablolar!$B$119:$C$150, IF($C$3="D",Tablolar!$B$155:$C$186, IF($C$3="E",Tablolar!$B$192:$C$223, IF($C$3="F",Tablolar!$B$228:$C$259,Tablolar!$B$264:$C$295)))))),2,FALSE)))*IF(Tablolar!A45=TRUE,1,0)</f>
        <v>0</v>
      </c>
      <c r="D27" s="16"/>
      <c r="E27" s="9" t="str">
        <f>(IF($C$3=0,"",IF($C$3="A",Tablolar!B45,IF($C$3="B",Tablolar!B81, IF(OR($C$3="C",$C$3="Ç"),Tablolar!B130, IF($C$3="D",Tablolar!B166, IF($C$3="E",Tablolar!B203, IF($C$3="F",Tablolar!B239,0))))))))</f>
        <v/>
      </c>
      <c r="F27" s="26"/>
      <c r="G27" s="26"/>
      <c r="H27" s="25">
        <f>IF(AND(Tablolar!D45=TRUE,F27=0),IF(Tablolar!D45=TRUE,VLOOKUP(E27,IF($C$3="A",Tablolar!$E$34:$H$66,IF($C$3="B",Tablolar!$E$70:$H$113,IF(OR($C$3="C",$C$3="Ç"),Tablolar!$E$119:$H$150,IF($C$3="D",Tablolar!$E$155:$H$186,IF($C$3="E",Tablolar!$E$192:$H$223,IF($C$3="F",Tablolar!$E$228:$H$259,Tablolar!$E$264:$H$295)))))),4,FALSE),0),(IF(OR($C$3=0,F27=0),0,VLOOKUP(E27,IF($C$3="A",Tablolar!$E$34:$H$66,IF($C$3="B",Tablolar!$E$70:$H$113,IF(OR($C$3="C",$C$3="Ç"),Tablolar!$E$119:$H$150,IF($C$3="D",Tablolar!$E$155:$H$186,IF($C$3="E",Tablolar!$E$192:$H$223,IF($C$3="F",Tablolar!$E$228:$H$259,Tablolar!$E$264:$H$295)))))),IF(G27/F27&lt;0.15,2,IF(AND(G27/F27&gt;=0.15,G27/F27&lt;0.3),3,IF(G27/F27&gt;=0.3,4,0))),FALSE))))</f>
        <v>0</v>
      </c>
      <c r="I27" s="9" t="str">
        <f>(IF($C$3=0,"",IF($C$3="A",Tablolar!B45,IF($C$3="B",Tablolar!B81, IF(OR($C$3="C",$C$3="Ç"),Tablolar!B130, IF($C$3="D",Tablolar!B166, IF($C$3="E",Tablolar!B203, IF($C$3="F",Tablolar!B239,0))))))))</f>
        <v/>
      </c>
      <c r="J27" s="23"/>
      <c r="K27" s="17">
        <f>IF(J27="TAM", IF($C$3="A",Tablolar!K45, IF($C$3="B",Tablolar!K81, IF(OR($C$3="C",$C$3="Ç"),Tablolar!K130, IF($C$3="D",Tablolar!K166, IF($C$3="E",Tablolar!K203, IF($C$3="F",Tablolar!K239, Tablolar!K171)))))), IF(J27="LOKAL", IF($C$3="A",Tablolar!L45, IF($C$3="B",Tablolar!L81, IF(OR($C$3="C",$C$3="Ç"),Tablolar!L130, IF($C$3="D",Tablolar!L166, IF($C$3="E",Tablolar!L203, IF($C$3="F",Tablolar!L239, Tablolar!L275)))))),0))</f>
        <v>0</v>
      </c>
    </row>
    <row r="28" spans="1:13" ht="17.100000000000001" customHeight="1" x14ac:dyDescent="0.25">
      <c r="A28" s="37"/>
      <c r="B28" s="38" t="str">
        <f>(IF($C$3=0,"",IF($C$3="A",Tablolar!B46,IF($C$3="B",Tablolar!B82, IF(OR($C$3="C",$C$3="Ç"),Tablolar!B131, IF($C$3="D",Tablolar!B167, IF($C$3="E",Tablolar!B204, IF($C$3="F",Tablolar!B240,0))))))))</f>
        <v/>
      </c>
      <c r="C28" s="39">
        <f>(IF($C$3=0,0,VLOOKUP(B28,IF($C$3="A",Tablolar!$B$34:$C$66,IF($C$3="B",Tablolar!$B$70:$C$113, IF(OR($C$3="C",$C$3="Ç"),Tablolar!$B$119:$C$150, IF($C$3="D",Tablolar!$B$155:$C$186, IF($C$3="E",Tablolar!$B$192:$C$223, IF($C$3="F",Tablolar!$B$228:$C$259,Tablolar!$B$264:$C$295)))))),2,FALSE)))*IF(Tablolar!A46=TRUE,1,0)</f>
        <v>0</v>
      </c>
      <c r="D28" s="40"/>
      <c r="E28" s="41" t="str">
        <f>(IF($C$3=0,"",IF($C$3="A",Tablolar!B46,IF($C$3="B",Tablolar!B82, IF(OR($C$3="C",$C$3="Ç"),Tablolar!B131, IF($C$3="D",Tablolar!B167, IF($C$3="E",Tablolar!B204, IF($C$3="F",Tablolar!B240,0))))))))</f>
        <v/>
      </c>
      <c r="F28" s="42"/>
      <c r="G28" s="42"/>
      <c r="H28" s="43">
        <f>IF(AND(Tablolar!D46=TRUE,F28=0),IF(Tablolar!D46=TRUE,VLOOKUP(E28,IF($C$3="A",Tablolar!$E$34:$H$66,IF($C$3="B",Tablolar!$E$70:$H$113,IF(OR($C$3="C",$C$3="Ç"),Tablolar!$E$119:$H$150,IF($C$3="D",Tablolar!$E$155:$H$186,IF($C$3="E",Tablolar!$E$192:$H$223,IF($C$3="F",Tablolar!$E$228:$H$259,Tablolar!$E$264:$H$295)))))),4,FALSE),0),(IF(OR($C$3=0,F28=0),0,VLOOKUP(E28,IF($C$3="A",Tablolar!$E$34:$H$66,IF($C$3="B",Tablolar!$E$70:$H$113,IF(OR($C$3="C",$C$3="Ç"),Tablolar!$E$119:$H$150,IF($C$3="D",Tablolar!$E$155:$H$186,IF($C$3="E",Tablolar!$E$192:$H$223,IF($C$3="F",Tablolar!$E$228:$H$259,Tablolar!$E$264:$H$295)))))),IF(G28/F28&lt;0.15,2,IF(AND(G28/F28&gt;=0.15,G28/F28&lt;0.3),3,IF(G28/F28&gt;=0.3,4,0))),FALSE))))</f>
        <v>0</v>
      </c>
      <c r="I28" s="41" t="str">
        <f>(IF($C$3=0,"",IF($C$3="A",Tablolar!B46,IF($C$3="B",Tablolar!B82, IF(OR($C$3="C",$C$3="Ç"),Tablolar!B131, IF($C$3="D",Tablolar!B167, IF($C$3="E",Tablolar!B204, IF($C$3="F",Tablolar!B240,0))))))))</f>
        <v/>
      </c>
      <c r="J28" s="44"/>
      <c r="K28" s="45">
        <f>IF(J28="TAM", IF($C$3="A",Tablolar!K46, IF($C$3="B",Tablolar!K82, IF(OR($C$3="C",$C$3="Ç"),Tablolar!K131, IF($C$3="D",Tablolar!K167, IF($C$3="E",Tablolar!K204, IF($C$3="F",Tablolar!K240, Tablolar!K172)))))), IF(J28="LOKAL", IF($C$3="A",Tablolar!L46, IF($C$3="B",Tablolar!L82, IF(OR($C$3="C",$C$3="Ç"),Tablolar!L131, IF($C$3="D",Tablolar!L167, IF($C$3="E",Tablolar!L204, IF($C$3="F",Tablolar!L240, Tablolar!L276)))))),0))</f>
        <v>0</v>
      </c>
    </row>
    <row r="29" spans="1:13" ht="17.100000000000001" customHeight="1" x14ac:dyDescent="0.25">
      <c r="A29" s="20"/>
      <c r="B29" s="21" t="str">
        <f>(IF($C$3=0,"",IF($C$3="A",Tablolar!B47,IF($C$3="B",Tablolar!B83, IF(OR($C$3="C",$C$3="Ç"),Tablolar!B132, IF($C$3="D",Tablolar!B168, IF($C$3="E",Tablolar!B205, IF($C$3="F",Tablolar!B241,0))))))))</f>
        <v/>
      </c>
      <c r="C29" s="24">
        <f>(IF($C$3=0,0,VLOOKUP(B29,IF($C$3="A",Tablolar!$B$34:$C$66,IF($C$3="B",Tablolar!$B$70:$C$113, IF(OR($C$3="C",$C$3="Ç"),Tablolar!$B$119:$C$151, IF($C$3="D",Tablolar!$B$155:$C$186, IF($C$3="E",Tablolar!$B$192:$C$223, IF($C$3="F",Tablolar!$B$228:$C$259,Tablolar!$B$264:$C$295)))))),2,FALSE)))*IF(Tablolar!A47=TRUE,1,0)</f>
        <v>0</v>
      </c>
      <c r="D29" s="16"/>
      <c r="E29" s="9" t="str">
        <f>(IF($C$3=0,"",IF($C$3="A",Tablolar!B47,IF($C$3="B",Tablolar!B83, IF(OR($C$3="C",$C$3="Ç"),Tablolar!B132, IF($C$3="D",Tablolar!B168, IF($C$3="E",Tablolar!B205, IF($C$3="F",Tablolar!B241,0))))))))</f>
        <v/>
      </c>
      <c r="F29" s="26"/>
      <c r="G29" s="26"/>
      <c r="H29" s="25">
        <f>IF(AND(Tablolar!D47=TRUE,F29=0),IF(Tablolar!D47=TRUE,VLOOKUP(E29,IF($C$3="A",Tablolar!$E$34:$H$66,IF($C$3="B",Tablolar!$E$70:$H$113,IF(OR($C$3="C",$C$3="Ç"),Tablolar!$E$119:$H$150,IF($C$3="D",Tablolar!$E$155:$H$186,IF($C$3="E",Tablolar!$E$192:$H$223,IF($C$3="F",Tablolar!$E$228:$H$259,Tablolar!$E$264:$H$295)))))),4,FALSE),0),(IF(OR($C$3=0,F29=0),0,VLOOKUP(E29,IF($C$3="A",Tablolar!$E$34:$H$66,IF($C$3="B",Tablolar!$E$70:$H$113,IF(OR($C$3="C",$C$3="Ç"),Tablolar!$E$119:$H$150,IF($C$3="D",Tablolar!$E$155:$H$186,IF($C$3="E",Tablolar!$E$192:$H$223,IF($C$3="F",Tablolar!$E$228:$H$259,Tablolar!$E$264:$H$295)))))),IF(G29/F29&lt;0.15,2,IF(AND(G29/F29&gt;=0.15,G29/F29&lt;0.3),3,IF(G29/F29&gt;=0.3,4,0))),FALSE))))</f>
        <v>0</v>
      </c>
      <c r="I29" s="9" t="str">
        <f>(IF($C$3=0,"",IF($C$3="A",Tablolar!B47,IF($C$3="B",Tablolar!B83, IF(OR($C$3="C",$C$3="Ç"),Tablolar!B132, IF($C$3="D",Tablolar!B168, IF($C$3="E",Tablolar!B205, IF($C$3="F",Tablolar!B241,0))))))))</f>
        <v/>
      </c>
      <c r="J29" s="23"/>
      <c r="K29" s="17">
        <f>IF(J29="TAM", IF($C$3="A",Tablolar!K47, IF($C$3="B",Tablolar!K83, IF(OR($C$3="C",$C$3="Ç"),Tablolar!K132, IF($C$3="D",Tablolar!K168, IF($C$3="E",Tablolar!K205, IF($C$3="F",Tablolar!K241, Tablolar!K173)))))), IF(J29="LOKAL", IF($C$3="A",Tablolar!L47, IF($C$3="B",Tablolar!L83, IF(OR($C$3="C",$C$3="Ç"),Tablolar!L132, IF($C$3="D",Tablolar!L168, IF($C$3="E",Tablolar!L205, IF($C$3="F",Tablolar!L241, Tablolar!L277)))))),0))</f>
        <v>0</v>
      </c>
    </row>
    <row r="30" spans="1:13" ht="17.100000000000001" customHeight="1" x14ac:dyDescent="0.25">
      <c r="A30" s="37"/>
      <c r="B30" s="38" t="str">
        <f>(IF($C$3=0,"",IF($C$3="A",Tablolar!B48,IF($C$3="B",Tablolar!B84, IF(OR($C$3="C",$C$3="Ç"),Tablolar!B133, IF($C$3="D",Tablolar!B169, IF($C$3="E",Tablolar!B206, IF($C$3="F",Tablolar!B242,0))))))))</f>
        <v/>
      </c>
      <c r="C30" s="39">
        <f>(IF($C$3=0,0,VLOOKUP(B30,IF($C$3="A",Tablolar!$B$34:$C$66,IF($C$3="B",Tablolar!$B$70:$C$113, IF(OR($C$3="C",$C$3="Ç"),Tablolar!$B$119:$C$152, IF($C$3="D",Tablolar!$B$155:$C$186, IF($C$3="E",Tablolar!$B$192:$C$223, IF($C$3="F",Tablolar!$B$228:$C$259,Tablolar!$B$264:$C$295)))))),2,FALSE)))*IF(Tablolar!A48=TRUE,1,0)</f>
        <v>0</v>
      </c>
      <c r="D30" s="40"/>
      <c r="E30" s="41" t="str">
        <f>(IF($C$3=0,"",IF($C$3="A",Tablolar!B48,IF($C$3="B",Tablolar!B84, IF(OR($C$3="C",$C$3="Ç"),Tablolar!B133, IF($C$3="D",Tablolar!B169, IF($C$3="E",Tablolar!B206, IF($C$3="F",Tablolar!B242,0))))))))</f>
        <v/>
      </c>
      <c r="F30" s="42"/>
      <c r="G30" s="42"/>
      <c r="H30" s="43">
        <f>IF(AND(Tablolar!D48=TRUE,F30=0),IF(Tablolar!D48=TRUE,VLOOKUP(E30,IF($C$3="A",Tablolar!$E$34:$H$66,IF($C$3="B",Tablolar!$E$70:$H$113,IF(OR($C$3="C",$C$3="Ç"),Tablolar!$E$119:$H$150,IF($C$3="D",Tablolar!$E$155:$H$186,IF($C$3="E",Tablolar!$E$192:$H$223,IF($C$3="F",Tablolar!$E$228:$H$259,Tablolar!$E$264:$H$295)))))),4,FALSE),0),(IF(OR($C$3=0,F30=0),0,VLOOKUP(E30,IF($C$3="A",Tablolar!$E$34:$H$66,IF($C$3="B",Tablolar!$E$70:$H$113,IF(OR($C$3="C",$C$3="Ç"),Tablolar!$E$119:$H$150,IF($C$3="D",Tablolar!$E$155:$H$186,IF($C$3="E",Tablolar!$E$192:$H$223,IF($C$3="F",Tablolar!$E$228:$H$259,Tablolar!$E$264:$H$295)))))),IF(G30/F30&lt;0.15,2,IF(AND(G30/F30&gt;=0.15,G30/F30&lt;0.3),3,IF(G30/F30&gt;=0.3,4,0))),FALSE))))</f>
        <v>0</v>
      </c>
      <c r="I30" s="41" t="str">
        <f>(IF($C$3=0,"",IF($C$3="A",Tablolar!B48,IF($C$3="B",Tablolar!B84, IF(OR($C$3="C",$C$3="Ç"),Tablolar!B133, IF($C$3="D",Tablolar!B169, IF($C$3="E",Tablolar!B206, IF($C$3="F",Tablolar!B242,0))))))))</f>
        <v/>
      </c>
      <c r="J30" s="44"/>
      <c r="K30" s="45">
        <f>IF(J30="TAM", IF($C$3="A",Tablolar!K48, IF($C$3="B",Tablolar!K84, IF(OR($C$3="C",$C$3="Ç"),Tablolar!K133, IF($C$3="D",Tablolar!K169, IF($C$3="E",Tablolar!K206, IF($C$3="F",Tablolar!K242, Tablolar!K174)))))), IF(J30="LOKAL", IF($C$3="A",Tablolar!L48, IF($C$3="B",Tablolar!L84, IF(OR($C$3="C",$C$3="Ç"),Tablolar!L133, IF($C$3="D",Tablolar!L169, IF($C$3="E",Tablolar!L206, IF($C$3="F",Tablolar!L242, Tablolar!L278)))))),0))</f>
        <v>0</v>
      </c>
    </row>
    <row r="31" spans="1:13" ht="17.100000000000001" customHeight="1" x14ac:dyDescent="0.25">
      <c r="A31" s="20"/>
      <c r="B31" s="21" t="str">
        <f>(IF($C$3=0,"",IF($C$3="A",Tablolar!B49,IF($C$3="B",Tablolar!B85, IF(AND(OR($C$3="C",$C$3="Ç"),$B$3="KAMYONET"),Tablolar!B134, IF(OR($C$3="C",$C$3="Ç"),Tablolar!B144, IF($C$3="D",Tablolar!B170, IF($C$3="E",Tablolar!B207, IF($C$3="F",Tablolar!B243,0)))))))))</f>
        <v/>
      </c>
      <c r="C31" s="24">
        <f>(IF($C$3=0,0,VLOOKUP(B31,IF($C$3="A",Tablolar!$B$34:$C$66,IF($C$3="B",Tablolar!$B$70:$C$113, IF(OR($C$3="C",$C$3="Ç"),Tablolar!$B$119:$C$150, IF($C$3="D",Tablolar!$B$155:$C$186, IF($C$3="E",Tablolar!$B$192:$C$223, IF($C$3="F",Tablolar!$B$228:$C$259,Tablolar!$B$264:$C$295)))))),2,FALSE)))*IF(Tablolar!A49=TRUE,1,0)</f>
        <v>0</v>
      </c>
      <c r="D31" s="16"/>
      <c r="E31" s="9" t="str">
        <f>(IF($C$3=0,"",IF($C$3="A",Tablolar!B49,IF($C$3="B",Tablolar!B85, IF(AND(OR($C$3="C",$C$3="Ç"),$B$3="KAMYONET"),Tablolar!B134, IF(OR($C$3="C",$C$3="Ç"),Tablolar!B144, IF($C$3="D",Tablolar!B170, IF($C$3="E",Tablolar!B207, IF($C$3="F",Tablolar!B243,0)))))))))</f>
        <v/>
      </c>
      <c r="F31" s="26"/>
      <c r="G31" s="26"/>
      <c r="H31" s="25">
        <f>IF(AND(Tablolar!D49=TRUE,F31=0),IF(Tablolar!D49=TRUE,VLOOKUP(E31,IF($C$3="A",Tablolar!$E$34:$H$66,IF($C$3="B",Tablolar!$E$70:$H$113,IF(OR($C$3="C",$C$3="Ç"),Tablolar!$E$119:$H$150,IF($C$3="D",Tablolar!$E$155:$H$186,IF($C$3="E",Tablolar!$E$192:$H$223,IF($C$3="F",Tablolar!$E$228:$H$259,Tablolar!$E$264:$H$295)))))),4,FALSE),0),(IF(OR($C$3=0,F31=0),0,VLOOKUP(E31,IF($C$3="A",Tablolar!$E$34:$H$66,IF($C$3="B",Tablolar!$E$70:$H$113,IF(OR($C$3="C",$C$3="Ç"),Tablolar!$E$119:$H$150,IF($C$3="D",Tablolar!$E$155:$H$186,IF($C$3="E",Tablolar!$E$192:$H$223,IF($C$3="F",Tablolar!$E$228:$H$259,Tablolar!$E$264:$H$295)))))),IF(G31/F31&lt;0.15,2,IF(AND(G31/F31&gt;=0.15,G31/F31&lt;0.3),3,IF(G31/F31&gt;=0.3,4,0))),FALSE))))</f>
        <v>0</v>
      </c>
      <c r="I31" s="9" t="str">
        <f>(IF($C$3=0,"",IF($C$3="A",Tablolar!B49,IF($C$3="B",Tablolar!B85, IF(AND(OR($C$3="C",$C$3="Ç"),$B$3="KAMYONET"),Tablolar!B134, IF(OR($C$3="C",$C$3="Ç"),Tablolar!B144, IF($C$3="D",Tablolar!B170, IF($C$3="E",Tablolar!B207, IF($C$3="F",Tablolar!B243,0)))))))))</f>
        <v/>
      </c>
      <c r="J31" s="23"/>
      <c r="K31" s="17">
        <f>IF(J31="TAM", IF($C$3="A",Tablolar!K49, IF($C$3="B",Tablolar!K85, IF(OR($C$3="C",$C$3="Ç"),Tablolar!K134, IF($C$3="D",Tablolar!K170, IF($C$3="E",Tablolar!K207, IF($C$3="F",Tablolar!K243, Tablolar!K175)))))), IF(J31="LOKAL", IF($C$3="A",Tablolar!L49, IF($C$3="B",Tablolar!L85, IF(OR($C$3="C",$C$3="Ç"),Tablolar!L134, IF($C$3="D",Tablolar!L170, IF($C$3="E",Tablolar!L207, IF($C$3="F",Tablolar!L243, Tablolar!L279)))))),0))</f>
        <v>0</v>
      </c>
    </row>
    <row r="32" spans="1:13" ht="17.100000000000001" customHeight="1" x14ac:dyDescent="0.25">
      <c r="A32" s="37"/>
      <c r="B32" s="38" t="str">
        <f>(IF($C$3=0,"",IF($C$3="A",Tablolar!B50,IF($C$3="B",Tablolar!B86, IF(AND(OR($C$3="C",$C$3="Ç"),$B$3="KAMYONET"),Tablolar!B135, IF(OR($C$3="C",$C$3="Ç"),Tablolar!B145, IF($C$3="D",Tablolar!B171, IF($C$3="E",Tablolar!B208, IF($C$3="F",Tablolar!B244,0)))))))))</f>
        <v/>
      </c>
      <c r="C32" s="39">
        <f>(IF($C$3=0,0,VLOOKUP(B32,IF($C$3="A",Tablolar!$B$34:$C$66,IF($C$3="B",Tablolar!$B$70:$C$113, IF(OR($C$3="C",$C$3="Ç"),Tablolar!$B$119:$C$150, IF($C$3="D",Tablolar!$B$155:$C$186, IF($C$3="E",Tablolar!$B$192:$C$223, IF($C$3="F",Tablolar!$B$228:$C$259,Tablolar!$B$264:$C$295)))))),2,FALSE)))*IF(Tablolar!A50=TRUE,1,0)</f>
        <v>0</v>
      </c>
      <c r="D32" s="40"/>
      <c r="E32" s="41" t="str">
        <f>(IF($C$3=0,"",IF($C$3="A",Tablolar!B50,IF($C$3="B",Tablolar!B86, IF(AND(OR($C$3="C",$C$3="Ç"),$B$3="KAMYONET"),Tablolar!B135, IF(OR($C$3="C",$C$3="Ç"),Tablolar!B145, IF($C$3="D",Tablolar!B171, IF($C$3="E",Tablolar!B208, IF($C$3="F",Tablolar!B244,0)))))))))</f>
        <v/>
      </c>
      <c r="F32" s="42"/>
      <c r="G32" s="42"/>
      <c r="H32" s="43">
        <f>IF(AND(Tablolar!D50=TRUE,F32=0),IF(Tablolar!D50=TRUE,VLOOKUP(E32,IF($C$3="A",Tablolar!$E$34:$H$66,IF($C$3="B",Tablolar!$E$70:$H$113,IF(OR($C$3="C",$C$3="Ç"),Tablolar!$E$119:$H$150,IF($C$3="D",Tablolar!$E$155:$H$186,IF($C$3="E",Tablolar!$E$192:$H$223,IF($C$3="F",Tablolar!$E$228:$H$259,Tablolar!$E$264:$H$295)))))),4,FALSE),0),(IF(OR($C$3=0,F32=0),0,VLOOKUP(E32,IF($C$3="A",Tablolar!$E$34:$H$66,IF($C$3="B",Tablolar!$E$70:$H$113,IF(OR($C$3="C",$C$3="Ç"),Tablolar!$E$119:$H$150,IF($C$3="D",Tablolar!$E$155:$H$186,IF($C$3="E",Tablolar!$E$192:$H$223,IF($C$3="F",Tablolar!$E$228:$H$259,Tablolar!$E$264:$H$295)))))),IF(G32/F32&lt;0.15,2,IF(AND(G32/F32&gt;=0.15,G32/F32&lt;0.3),3,IF(G32/F32&gt;=0.3,4,0))),FALSE))))</f>
        <v>0</v>
      </c>
      <c r="I32" s="41" t="str">
        <f>(IF($C$3=0,"",IF($C$3="A",Tablolar!B50,IF($C$3="B",Tablolar!B86, IF(AND(OR($C$3="C",$C$3="Ç"),$B$3="KAMYONET"),Tablolar!B135, IF(OR($C$3="C",$C$3="Ç"),Tablolar!B145, IF($C$3="D",Tablolar!B171, IF($C$3="E",Tablolar!B208, IF($C$3="F",Tablolar!B244,0)))))))))</f>
        <v/>
      </c>
      <c r="J32" s="44"/>
      <c r="K32" s="45">
        <f>IF(J32="TAM", IF($C$3="A",Tablolar!K50, IF($C$3="B",Tablolar!K86, IF(OR($C$3="C",$C$3="Ç"),Tablolar!K135, IF($C$3="D",Tablolar!K171, IF($C$3="E",Tablolar!K208, IF($C$3="F",Tablolar!K244, Tablolar!K176)))))), IF(J32="LOKAL", IF($C$3="A",Tablolar!L50, IF($C$3="B",Tablolar!L86, IF(OR($C$3="C",$C$3="Ç"),Tablolar!L135, IF($C$3="D",Tablolar!L171, IF($C$3="E",Tablolar!L208, IF($C$3="F",Tablolar!L244, Tablolar!L280)))))),0))</f>
        <v>0</v>
      </c>
    </row>
    <row r="33" spans="1:11" ht="17.100000000000001" customHeight="1" x14ac:dyDescent="0.25">
      <c r="A33" s="20"/>
      <c r="B33" s="21" t="str">
        <f>(IF($C$3=0,"",IF($C$3="A",Tablolar!B51,IF($C$3="B",Tablolar!B87, IF(AND(OR($C$3="C",$C$3="Ç"),$B$3="KAMYONET"),Tablolar!B136, IF(OR($C$3="C",$C$3="Ç"),Tablolar!B146, IF($C$3="D",Tablolar!B172, IF($C$3="E",Tablolar!B209, IF($C$3="F",Tablolar!B245,0)))))))))</f>
        <v/>
      </c>
      <c r="C33" s="24">
        <f>(IF($C$3=0,0,VLOOKUP(B33,IF($C$3="A",Tablolar!$B$34:$C$66,IF($C$3="B",Tablolar!$B$70:$C$113, IF(OR($C$3="C",$C$3="Ç"),Tablolar!$B$119:$C$150, IF($C$3="D",Tablolar!$B$155:$C$186, IF($C$3="E",Tablolar!$B$192:$C$223, IF($C$3="F",Tablolar!$B$228:$C$259,Tablolar!$B$264:$C$295)))))),2,FALSE)))*IF(Tablolar!A51=TRUE,1,0)</f>
        <v>0</v>
      </c>
      <c r="D33" s="16"/>
      <c r="E33" s="9" t="str">
        <f>(IF($C$3=0,"",IF($C$3="A",Tablolar!B51,IF($C$3="B",Tablolar!B87, IF(AND(OR($C$3="C",$C$3="Ç"),$B$3="KAMYONET"),Tablolar!B136, IF(OR($C$3="C",$C$3="Ç"),Tablolar!B146, IF($C$3="D",Tablolar!B172, IF($C$3="E",Tablolar!B209, IF($C$3="F",Tablolar!B245,0)))))))))</f>
        <v/>
      </c>
      <c r="F33" s="26"/>
      <c r="G33" s="26"/>
      <c r="H33" s="25">
        <f>IF(AND(Tablolar!D51=TRUE,F33=0),IF(Tablolar!D51=TRUE,VLOOKUP(E33,IF($C$3="A",Tablolar!$E$34:$H$66,IF($C$3="B",Tablolar!$E$70:$H$113,IF(OR($C$3="C",$C$3="Ç"),Tablolar!$E$119:$H$150,IF($C$3="D",Tablolar!$E$155:$H$186,IF($C$3="E",Tablolar!$E$192:$H$223,IF($C$3="F",Tablolar!$E$228:$H$259,Tablolar!$E$264:$H$295)))))),4,FALSE),0),(IF(OR($C$3=0,F33=0),0,VLOOKUP(E33,IF($C$3="A",Tablolar!$E$34:$H$66,IF($C$3="B",Tablolar!$E$70:$H$113,IF(OR($C$3="C",$C$3="Ç"),Tablolar!$E$119:$H$150,IF($C$3="D",Tablolar!$E$155:$H$186,IF($C$3="E",Tablolar!$E$192:$H$223,IF($C$3="F",Tablolar!$E$228:$H$259,Tablolar!$E$264:$H$295)))))),IF(G33/F33&lt;0.15,2,IF(AND(G33/F33&gt;=0.15,G33/F33&lt;0.3),3,IF(G33/F33&gt;=0.3,4,0))),FALSE))))</f>
        <v>0</v>
      </c>
      <c r="I33" s="9" t="str">
        <f>(IF($C$3=0,"",IF($C$3="A",Tablolar!B51,IF($C$3="B",Tablolar!B87, IF(AND(OR($C$3="C",$C$3="Ç"),$B$3="KAMYONET"),Tablolar!B136, IF(OR($C$3="C",$C$3="Ç"),Tablolar!B146, IF($C$3="D",Tablolar!B172, IF($C$3="E",Tablolar!B209, IF($C$3="F",Tablolar!B245,0)))))))))</f>
        <v/>
      </c>
      <c r="J33" s="23"/>
      <c r="K33" s="17">
        <f>IF(J33="TAM", IF($C$3="A",Tablolar!K51, IF($C$3="B",Tablolar!K87, IF(OR($C$3="C",$C$3="Ç"),Tablolar!K136, IF($C$3="D",Tablolar!K172, IF($C$3="E",Tablolar!K209, IF($C$3="F",Tablolar!K245, Tablolar!K177)))))), IF(J33="LOKAL", IF($C$3="A",Tablolar!L51, IF($C$3="B",Tablolar!L87, IF(OR($C$3="C",$C$3="Ç"),Tablolar!L136, IF($C$3="D",Tablolar!L172, IF($C$3="E",Tablolar!L209, IF($C$3="F",Tablolar!L245, Tablolar!L281)))))),0))</f>
        <v>0</v>
      </c>
    </row>
    <row r="34" spans="1:11" ht="17.100000000000001" customHeight="1" x14ac:dyDescent="0.25">
      <c r="A34" s="37"/>
      <c r="B34" s="38" t="str">
        <f>(IF($C$3=0,"",IF($C$3="A",Tablolar!B52,IF($C$3="B",Tablolar!B88, IF(AND(OR($C$3="C",$C$3="Ç"),$B$3="KAMYONET"),Tablolar!B137, IF($C$3="D",Tablolar!B173, IF($C$3="E",Tablolar!B210, IF($C$3="F",Tablolar!B246,0))))))))</f>
        <v/>
      </c>
      <c r="C34" s="39">
        <f>(IF($C$3=0,0,VLOOKUP(B34,IF($C$3="A",Tablolar!$B$34:$C$66,IF($C$3="B",Tablolar!$B$70:$C$113, IF(OR($C$3="C",$C$3="Ç"),Tablolar!$B$119:$C$150, IF($C$3="D",Tablolar!$B$155:$C$186, IF($C$3="E",Tablolar!$B$192:$C$223, IF($C$3="F",Tablolar!$B$228:$C$259,Tablolar!$B$264:$C$295)))))),2,FALSE)))*IF(Tablolar!A52=TRUE,1,0)</f>
        <v>0</v>
      </c>
      <c r="D34" s="40"/>
      <c r="E34" s="41" t="str">
        <f>(IF($C$3=0,"",IF($C$3="A",Tablolar!B52,IF($C$3="B",Tablolar!B88, IF(AND(OR($C$3="C",$C$3="Ç"),$B$3="KAMYONET"),Tablolar!B137, IF($C$3="D",Tablolar!B173, IF($C$3="E",Tablolar!B210, IF($C$3="F",Tablolar!B246,0))))))))</f>
        <v/>
      </c>
      <c r="F34" s="42"/>
      <c r="G34" s="42"/>
      <c r="H34" s="43">
        <f>IF(AND(Tablolar!D52=TRUE,F34=0),IF(Tablolar!D52=TRUE,VLOOKUP(E34,IF($C$3="A",Tablolar!$E$34:$H$66,IF($C$3="B",Tablolar!$E$70:$H$113,IF(OR($C$3="C",$C$3="Ç"),Tablolar!$E$119:$H$150,IF($C$3="D",Tablolar!$E$155:$H$186,IF($C$3="E",Tablolar!$E$192:$H$223,IF($C$3="F",Tablolar!$E$228:$H$259,Tablolar!$E$264:$H$295)))))),4,FALSE),0),(IF(OR($C$3=0,F34=0),0,VLOOKUP(E34,IF($C$3="A",Tablolar!$E$34:$H$66,IF($C$3="B",Tablolar!$E$70:$H$113,IF(OR($C$3="C",$C$3="Ç"),Tablolar!$E$119:$H$150,IF($C$3="D",Tablolar!$E$155:$H$186,IF($C$3="E",Tablolar!$E$192:$H$223,IF($C$3="F",Tablolar!$E$228:$H$259,Tablolar!$E$264:$H$295)))))),IF(G34/F34&lt;0.15,2,IF(AND(G34/F34&gt;=0.15,G34/F34&lt;0.3),3,IF(G34/F34&gt;=0.3,4,0))),FALSE))))</f>
        <v>0</v>
      </c>
      <c r="I34" s="41" t="str">
        <f>(IF($C$3=0,"",IF($C$3="A",Tablolar!B52,IF($C$3="B",Tablolar!B88, IF(AND(OR($C$3="C",$C$3="Ç"),$B$3="KAMYONET"),Tablolar!B137, IF($C$3="D",Tablolar!B173, IF($C$3="E",Tablolar!B210, IF($C$3="F",Tablolar!B246,0))))))))</f>
        <v/>
      </c>
      <c r="J34" s="44"/>
      <c r="K34" s="45">
        <f>IF(J34="TAM", IF($C$3="A",Tablolar!K52, IF($C$3="B",Tablolar!K88, IF(OR($C$3="C",$C$3="Ç"),Tablolar!K137, IF($C$3="D",Tablolar!K173, IF($C$3="E",Tablolar!K210, IF($C$3="F",Tablolar!K246, Tablolar!K178)))))), IF(J34="LOKAL", IF($C$3="A",Tablolar!L52, IF($C$3="B",Tablolar!L88, IF(OR($C$3="C",$C$3="Ç"),Tablolar!L137, IF($C$3="D",Tablolar!L173, IF($C$3="E",Tablolar!L210, IF($C$3="F",Tablolar!L246, Tablolar!L282)))))),0))</f>
        <v>0</v>
      </c>
    </row>
    <row r="35" spans="1:11" ht="17.100000000000001" customHeight="1" x14ac:dyDescent="0.25">
      <c r="A35" s="20"/>
      <c r="B35" s="21" t="str">
        <f>(IF($C$3=0,"",IF($C$3="A",Tablolar!B53,IF($C$3="B",Tablolar!B89, IF(AND(OR($C$3="C",$C$3="Ç"),$B$3="KAMYONET"),Tablolar!B138, IF($C$3="D",Tablolar!B174, IF($C$3="E",Tablolar!B211, IF($C$3="F",Tablolar!B247,0))))))))</f>
        <v/>
      </c>
      <c r="C35" s="24">
        <f>(IF($C$3=0,0,VLOOKUP(B35,IF($C$3="A",Tablolar!$B$34:$C$66,IF($C$3="B",Tablolar!$B$70:$C$113, IF(OR($C$3="C",$C$3="Ç"),Tablolar!$B$119:$C$150, IF($C$3="D",Tablolar!$B$155:$C$186, IF($C$3="E",Tablolar!$B$192:$C$223, IF($C$3="F",Tablolar!$B$228:$C$259,Tablolar!$B$264:$C$295)))))),2,FALSE)))*IF(Tablolar!A53=TRUE,1,0)</f>
        <v>0</v>
      </c>
      <c r="D35" s="16"/>
      <c r="E35" s="9" t="str">
        <f>(IF($C$3=0,"",IF($C$3="A",Tablolar!B53,IF($C$3="B",Tablolar!B89, IF(AND(OR($C$3="C",$C$3="Ç"),$B$3="KAMYONET"),Tablolar!B138, IF($C$3="D",Tablolar!B174, IF($C$3="E",Tablolar!B211, IF($C$3="F",Tablolar!B247,0))))))))</f>
        <v/>
      </c>
      <c r="F35" s="26"/>
      <c r="G35" s="26"/>
      <c r="H35" s="25">
        <f>IF(AND(Tablolar!D53=TRUE,F35=0),IF(Tablolar!D53=TRUE,VLOOKUP(E35,IF($C$3="A",Tablolar!$E$34:$H$66,IF($C$3="B",Tablolar!$E$70:$H$113,IF(OR($C$3="C",$C$3="Ç"),Tablolar!$E$119:$H$150,IF($C$3="D",Tablolar!$E$155:$H$186,IF($C$3="E",Tablolar!$E$192:$H$223,IF($C$3="F",Tablolar!$E$228:$H$259,Tablolar!$E$264:$H$295)))))),4,FALSE),0),(IF(OR($C$3=0,F35=0),0,VLOOKUP(E35,IF($C$3="A",Tablolar!$E$34:$H$66,IF($C$3="B",Tablolar!$E$70:$H$113,IF(OR($C$3="C",$C$3="Ç"),Tablolar!$E$119:$H$150,IF($C$3="D",Tablolar!$E$155:$H$186,IF($C$3="E",Tablolar!$E$192:$H$223,IF($C$3="F",Tablolar!$E$228:$H$259,Tablolar!$E$264:$H$295)))))),IF(G35/F35&lt;0.15,2,IF(AND(G35/F35&gt;=0.15,G35/F35&lt;0.3),3,IF(G35/F35&gt;=0.3,4,0))),FALSE))))</f>
        <v>0</v>
      </c>
      <c r="I35" s="9" t="str">
        <f>(IF($C$3=0,"",IF($C$3="A",Tablolar!B53,IF($C$3="B",Tablolar!B89, IF(AND(OR($C$3="C",$C$3="Ç"),$B$3="KAMYONET"),Tablolar!B138, IF($C$3="D",Tablolar!B174, IF($C$3="E",Tablolar!B211, IF($C$3="F",Tablolar!B247,0))))))))</f>
        <v/>
      </c>
      <c r="J35" s="23"/>
      <c r="K35" s="17">
        <f>IF(J35="TAM", IF($C$3="A",Tablolar!K53, IF($C$3="B",Tablolar!K89, IF(OR($C$3="C",$C$3="Ç"),Tablolar!K138, IF($C$3="D",Tablolar!K174, IF($C$3="E",Tablolar!K211, IF($C$3="F",Tablolar!K247, Tablolar!K179)))))), IF(J35="LOKAL", IF($C$3="A",Tablolar!L53, IF($C$3="B",Tablolar!L89, IF(OR($C$3="C",$C$3="Ç"),Tablolar!L138, IF($C$3="D",Tablolar!L174, IF($C$3="E",Tablolar!L211, IF($C$3="F",Tablolar!L247, Tablolar!L283)))))),0))</f>
        <v>0</v>
      </c>
    </row>
    <row r="36" spans="1:11" ht="17.100000000000001" customHeight="1" x14ac:dyDescent="0.25">
      <c r="A36" s="37"/>
      <c r="B36" s="38" t="str">
        <f>(IF($C$3=0,"",IF($C$3="A",Tablolar!B54,IF($C$3="B",Tablolar!B90, IF(AND(OR($C$3="C",$C$3="Ç"),$B$3="KAMYONET"),Tablolar!B139, IF($C$3="D",Tablolar!B175, IF($C$3="E",Tablolar!B212, IF($C$3="F",Tablolar!B248,0))))))))</f>
        <v/>
      </c>
      <c r="C36" s="39">
        <f>(IF($C$3=0,0,VLOOKUP(B36,IF($C$3="A",Tablolar!$B$34:$C$66,IF($C$3="B",Tablolar!$B$70:$C$113, IF(OR($C$3="C",$C$3="Ç"),Tablolar!$B$119:$C$150, IF($C$3="D",Tablolar!$B$155:$C$186, IF($C$3="E",Tablolar!$B$192:$C$223, IF($C$3="F",Tablolar!$B$228:$C$259,Tablolar!$B$264:$C$295)))))),2,FALSE)))*IF(Tablolar!A54=TRUE,1,0)</f>
        <v>0</v>
      </c>
      <c r="D36" s="40"/>
      <c r="E36" s="41" t="str">
        <f>(IF($C$3=0,"",IF($C$3="A",Tablolar!B54,IF($C$3="B",Tablolar!B90, IF(AND(OR($C$3="C",$C$3="Ç"),$B$3="KAMYONET"),Tablolar!B139, IF($C$3="D",Tablolar!B175, IF($C$3="E",Tablolar!B212, IF($C$3="F",Tablolar!B248,0))))))))</f>
        <v/>
      </c>
      <c r="F36" s="42"/>
      <c r="G36" s="42"/>
      <c r="H36" s="43">
        <f>IF(AND(Tablolar!D54=TRUE,F36=0),IF(Tablolar!D54=TRUE,VLOOKUP(E36,IF($C$3="A",Tablolar!$E$34:$H$66,IF($C$3="B",Tablolar!$E$70:$H$113,IF(OR($C$3="C",$C$3="Ç"),Tablolar!$E$119:$H$150,IF($C$3="D",Tablolar!$E$155:$H$186,IF($C$3="E",Tablolar!$E$192:$H$223,IF($C$3="F",Tablolar!$E$228:$H$259,Tablolar!$E$264:$H$295)))))),4,FALSE),0),(IF(OR($C$3=0,F36=0),0,VLOOKUP(E36,IF($C$3="A",Tablolar!$E$34:$H$66,IF($C$3="B",Tablolar!$E$70:$H$113,IF(OR($C$3="C",$C$3="Ç"),Tablolar!$E$119:$H$150,IF($C$3="D",Tablolar!$E$155:$H$186,IF($C$3="E",Tablolar!$E$192:$H$223,IF($C$3="F",Tablolar!$E$228:$H$259,Tablolar!$E$264:$H$295)))))),IF(G36/F36&lt;0.15,2,IF(AND(G36/F36&gt;=0.15,G36/F36&lt;0.3),3,IF(G36/F36&gt;=0.3,4,0))),FALSE))))</f>
        <v>0</v>
      </c>
      <c r="I36" s="41" t="str">
        <f>(IF($C$3=0,"",IF($C$3="A",Tablolar!B54,IF($C$3="B",Tablolar!B90, IF(AND(OR($C$3="C",$C$3="Ç"),$B$3="KAMYONET"),Tablolar!B139, IF($C$3="D",Tablolar!B175, IF($C$3="E",Tablolar!B212, IF($C$3="F",Tablolar!B248,0))))))))</f>
        <v/>
      </c>
      <c r="J36" s="44"/>
      <c r="K36" s="45">
        <f>IF(J36="TAM", IF($C$3="A",Tablolar!K54, IF($C$3="B",Tablolar!K90, IF(OR($C$3="C",$C$3="Ç"),Tablolar!K139, IF($C$3="D",Tablolar!K175, IF($C$3="E",Tablolar!K212, IF($C$3="F",Tablolar!K248, Tablolar!K180)))))), IF(J36="LOKAL", IF($C$3="A",Tablolar!L54, IF($C$3="B",Tablolar!L90, IF(OR($C$3="C",$C$3="Ç"),Tablolar!L139, IF($C$3="D",Tablolar!L175, IF($C$3="E",Tablolar!L212, IF($C$3="F",Tablolar!L248, Tablolar!L284)))))),0))</f>
        <v>0</v>
      </c>
    </row>
    <row r="37" spans="1:11" ht="17.100000000000001" customHeight="1" x14ac:dyDescent="0.25">
      <c r="A37" s="20"/>
      <c r="B37" s="21" t="str">
        <f>(IF($C$3=0,"",IF($C$3="A",Tablolar!B55,IF($C$3="B",Tablolar!B91, IF(AND(OR($C$3="C",$C$3="Ç"),$B$3="KAMYONET"),Tablolar!B140, IF($C$3="D",Tablolar!B176, IF($C$3="E",Tablolar!B213, IF($C$3="F",Tablolar!B249,0))))))))</f>
        <v/>
      </c>
      <c r="C37" s="24">
        <f>(IF($C$3=0,0,VLOOKUP(B37,IF($C$3="A",Tablolar!$B$34:$C$66,IF($C$3="B",Tablolar!$B$70:$C$113, IF(OR($C$3="C",$C$3="Ç"),Tablolar!$B$119:$C$150, IF($C$3="D",Tablolar!$B$155:$C$186, IF($C$3="E",Tablolar!$B$192:$C$223, IF($C$3="F",Tablolar!$B$228:$C$259,Tablolar!$B$264:$C$295)))))),2,FALSE)))*IF(Tablolar!A55=TRUE,1,0)</f>
        <v>0</v>
      </c>
      <c r="D37" s="16"/>
      <c r="E37" s="9" t="str">
        <f>(IF($C$3=0,"",IF($C$3="A",Tablolar!B55,IF($C$3="B",Tablolar!B91, IF(AND(OR($C$3="C",$C$3="Ç"),$B$3="KAMYONET"),Tablolar!B140, IF($C$3="D",Tablolar!B176, IF($C$3="E",Tablolar!B213, IF($C$3="F",Tablolar!B249,0))))))))</f>
        <v/>
      </c>
      <c r="F37" s="26"/>
      <c r="G37" s="26"/>
      <c r="H37" s="25">
        <f>IF(AND(Tablolar!D55=TRUE,F37=0),IF(Tablolar!D55=TRUE,VLOOKUP(E37,IF($C$3="A",Tablolar!$E$34:$H$66,IF($C$3="B",Tablolar!$E$70:$H$113,IF(OR($C$3="C",$C$3="Ç"),Tablolar!$E$119:$H$150,IF($C$3="D",Tablolar!$E$155:$H$186,IF($C$3="E",Tablolar!$E$192:$H$223,IF($C$3="F",Tablolar!$E$228:$H$259,Tablolar!$E$264:$H$295)))))),4,FALSE),0),(IF(OR($C$3=0,F37=0),0,VLOOKUP(E37,IF($C$3="A",Tablolar!$E$34:$H$66,IF($C$3="B",Tablolar!$E$70:$H$113,IF(OR($C$3="C",$C$3="Ç"),Tablolar!$E$119:$H$150,IF($C$3="D",Tablolar!$E$155:$H$186,IF($C$3="E",Tablolar!$E$192:$H$223,IF($C$3="F",Tablolar!$E$228:$H$259,Tablolar!$E$264:$H$295)))))),IF(G37/F37&lt;0.15,2,IF(AND(G37/F37&gt;=0.15,G37/F37&lt;0.3),3,IF(G37/F37&gt;=0.3,4,0))),FALSE))))</f>
        <v>0</v>
      </c>
      <c r="I37" s="9" t="str">
        <f>(IF($C$3=0,"",IF($C$3="A",Tablolar!B55,IF($C$3="B",Tablolar!B91, IF(AND(OR($C$3="C",$C$3="Ç"),$B$3="KAMYONET"),Tablolar!B140, IF($C$3="D",Tablolar!B176, IF($C$3="E",Tablolar!B213, IF($C$3="F",Tablolar!B249,0))))))))</f>
        <v/>
      </c>
      <c r="J37" s="23"/>
      <c r="K37" s="17">
        <f>IF(J37="TAM", IF($C$3="A",Tablolar!K55, IF($C$3="B",Tablolar!K91, IF(OR($C$3="C",$C$3="Ç"),Tablolar!K140, IF($C$3="D",Tablolar!K176, IF($C$3="E",Tablolar!K213, IF($C$3="F",Tablolar!K249, Tablolar!K181)))))), IF(J37="LOKAL", IF($C$3="A",Tablolar!L55, IF($C$3="B",Tablolar!L91, IF(OR($C$3="C",$C$3="Ç"),Tablolar!L140, IF($C$3="D",Tablolar!L176, IF($C$3="E",Tablolar!L213, IF($C$3="F",Tablolar!L249, Tablolar!L285)))))),0))</f>
        <v>0</v>
      </c>
    </row>
    <row r="38" spans="1:11" ht="17.100000000000001" customHeight="1" x14ac:dyDescent="0.25">
      <c r="A38" s="37"/>
      <c r="B38" s="38" t="str">
        <f>(IF($C$3=0,"",IF($C$3="A",Tablolar!B56,IF($C$3="B",Tablolar!B92, IF(AND(OR($C$3="C",$C$3="Ç"),$B$3="KAMYONET"),Tablolar!B141, IF($C$3="D",Tablolar!B177, IF($C$3="E",Tablolar!B214, IF($C$3="F",Tablolar!B250,0))))))))</f>
        <v/>
      </c>
      <c r="C38" s="39">
        <f>(IF($C$3=0,0,VLOOKUP(B38,IF($C$3="A",Tablolar!$B$34:$C$66,IF($C$3="B",Tablolar!$B$70:$C$113, IF(OR($C$3="C",$C$3="Ç"),Tablolar!$B$119:$C$150, IF($C$3="D",Tablolar!$B$155:$C$186, IF($C$3="E",Tablolar!$B$192:$C$223, IF($C$3="F",Tablolar!$B$228:$C$259,Tablolar!$B$264:$C$295)))))),2,FALSE)))*IF(Tablolar!A56=TRUE,1,0)</f>
        <v>0</v>
      </c>
      <c r="D38" s="40"/>
      <c r="E38" s="41" t="str">
        <f>(IF($C$3=0,"",IF($C$3="A",Tablolar!B56,IF($C$3="B",Tablolar!B92, IF(AND(OR($C$3="C",$C$3="Ç"),$B$3="KAMYONET"),Tablolar!B141, IF($C$3="D",Tablolar!B177, IF($C$3="E",Tablolar!B214, IF($C$3="F",Tablolar!B250,0))))))))</f>
        <v/>
      </c>
      <c r="F38" s="42"/>
      <c r="G38" s="42"/>
      <c r="H38" s="43">
        <f>IF(AND(Tablolar!D56=TRUE,F38=0),IF(Tablolar!D56=TRUE,VLOOKUP(E38,IF($C$3="A",Tablolar!$E$34:$H$66,IF($C$3="B",Tablolar!$E$70:$H$113,IF(OR($C$3="C",$C$3="Ç"),Tablolar!$E$119:$H$150,IF($C$3="D",Tablolar!$E$155:$H$186,IF($C$3="E",Tablolar!$E$192:$H$223,IF($C$3="F",Tablolar!$E$228:$H$259,Tablolar!$E$264:$H$295)))))),4,FALSE),0),(IF(OR($C$3=0,F38=0),0,VLOOKUP(E38,IF($C$3="A",Tablolar!$E$34:$H$66,IF($C$3="B",Tablolar!$E$70:$H$113,IF(OR($C$3="C",$C$3="Ç"),Tablolar!$E$119:$H$150,IF($C$3="D",Tablolar!$E$155:$H$186,IF($C$3="E",Tablolar!$E$192:$H$223,IF($C$3="F",Tablolar!$E$228:$H$259,Tablolar!$E$264:$H$295)))))),IF(G38/F38&lt;0.15,2,IF(AND(G38/F38&gt;=0.15,G38/F38&lt;0.3),3,IF(G38/F38&gt;=0.3,4,0))),FALSE))))</f>
        <v>0</v>
      </c>
      <c r="I38" s="41" t="str">
        <f>(IF($C$3=0,"",IF($C$3="A",Tablolar!B56,IF($C$3="B",Tablolar!B92, IF(AND(OR($C$3="C",$C$3="Ç"),$B$3="KAMYONET"),Tablolar!B141, IF($C$3="D",Tablolar!B177, IF($C$3="E",Tablolar!B214, IF($C$3="F",Tablolar!B250,0))))))))</f>
        <v/>
      </c>
      <c r="J38" s="44"/>
      <c r="K38" s="45">
        <f>IF(J38="TAM", IF($C$3="A",Tablolar!K56, IF($C$3="B",Tablolar!K92, IF(OR($C$3="C",$C$3="Ç"),Tablolar!K141, IF($C$3="D",Tablolar!K177, IF($C$3="E",Tablolar!K214, IF($C$3="F",Tablolar!K250, Tablolar!K182)))))), IF(J38="LOKAL", IF($C$3="A",Tablolar!L56, IF($C$3="B",Tablolar!L92, IF(OR($C$3="C",$C$3="Ç"),Tablolar!L141, IF($C$3="D",Tablolar!L177, IF($C$3="E",Tablolar!L214, IF($C$3="F",Tablolar!L250, Tablolar!L286)))))),0))</f>
        <v>0</v>
      </c>
    </row>
    <row r="39" spans="1:11" ht="17.100000000000001" customHeight="1" x14ac:dyDescent="0.25">
      <c r="A39" s="20"/>
      <c r="B39" s="21" t="str">
        <f>(IF($C$3=0,"",IF($C$3="A",Tablolar!B57,IF($C$3="B",Tablolar!B93, IF(AND(OR($C$3="C",$C$3="Ç"),$B$3="KAMYONET"),Tablolar!B142, IF($C$3="D",Tablolar!B178, IF($C$3="E",Tablolar!B215, IF($C$3="F",Tablolar!B251,0))))))))</f>
        <v/>
      </c>
      <c r="C39" s="24">
        <f>(IF($C$3=0,0,VLOOKUP(B39,IF($C$3="A",Tablolar!$B$34:$C$66,IF($C$3="B",Tablolar!$B$70:$C$113, IF(OR($C$3="C",$C$3="Ç"),Tablolar!$B$119:$C$150, IF($C$3="D",Tablolar!$B$155:$C$186, IF($C$3="E",Tablolar!$B$192:$C$223, IF($C$3="F",Tablolar!$B$228:$C$259,Tablolar!$B$264:$C$295)))))),2,FALSE)))*IF(Tablolar!A57=TRUE,1,0)</f>
        <v>0</v>
      </c>
      <c r="D39" s="16"/>
      <c r="E39" s="9" t="str">
        <f>(IF($C$3=0,"",IF($C$3="A",Tablolar!B57,IF($C$3="B",Tablolar!B93, IF(AND(OR($C$3="C",$C$3="Ç"),$B$3="KAMYONET"),Tablolar!B142, IF($C$3="D",Tablolar!B178, IF($C$3="E",Tablolar!B215, IF($C$3="F",Tablolar!B251,0))))))))</f>
        <v/>
      </c>
      <c r="F39" s="26"/>
      <c r="G39" s="26"/>
      <c r="H39" s="25">
        <f>IF(AND(Tablolar!D57=TRUE,F39=0),IF(Tablolar!D57=TRUE,VLOOKUP(E39,IF($C$3="A",Tablolar!$E$34:$H$66,IF($C$3="B",Tablolar!$E$70:$H$113,IF(OR($C$3="C",$C$3="Ç"),Tablolar!$E$119:$H$150,IF($C$3="D",Tablolar!$E$155:$H$186,IF($C$3="E",Tablolar!$E$192:$H$223,IF($C$3="F",Tablolar!$E$228:$H$259,Tablolar!$E$264:$H$295)))))),4,FALSE),0),(IF(OR($C$3=0,F39=0),0,VLOOKUP(E39,IF($C$3="A",Tablolar!$E$34:$H$66,IF($C$3="B",Tablolar!$E$70:$H$113,IF(OR($C$3="C",$C$3="Ç"),Tablolar!$E$119:$H$150,IF($C$3="D",Tablolar!$E$155:$H$186,IF($C$3="E",Tablolar!$E$192:$H$223,IF($C$3="F",Tablolar!$E$228:$H$259,Tablolar!$E$264:$H$295)))))),IF(G39/F39&lt;0.15,2,IF(AND(G39/F39&gt;=0.15,G39/F39&lt;0.3),3,IF(G39/F39&gt;=0.3,4,0))),FALSE))))</f>
        <v>0</v>
      </c>
      <c r="I39" s="9" t="str">
        <f>(IF($C$3=0,"",IF($C$3="A",Tablolar!B57,IF($C$3="B",Tablolar!B93, IF(AND(OR($C$3="C",$C$3="Ç"),$B$3="KAMYONET"),Tablolar!B142, IF($C$3="D",Tablolar!B178, IF($C$3="E",Tablolar!B215, IF($C$3="F",Tablolar!B251,0))))))))</f>
        <v/>
      </c>
      <c r="J39" s="23"/>
      <c r="K39" s="17">
        <f>IF(J39="TAM", IF($C$3="A",Tablolar!K57, IF($C$3="B",Tablolar!K93, IF(OR($C$3="C",$C$3="Ç"),Tablolar!K142, IF($C$3="D",Tablolar!K178, IF($C$3="E",Tablolar!K215, IF($C$3="F",Tablolar!K251, Tablolar!K183)))))), IF(J39="LOKAL", IF($C$3="A",Tablolar!L57, IF($C$3="B",Tablolar!L93, IF(OR($C$3="C",$C$3="Ç"),Tablolar!L142, IF($C$3="D",Tablolar!L178, IF($C$3="E",Tablolar!L215, IF($C$3="F",Tablolar!L251, Tablolar!L287)))))),0))</f>
        <v>0</v>
      </c>
    </row>
    <row r="40" spans="1:11" ht="17.100000000000001" customHeight="1" x14ac:dyDescent="0.25">
      <c r="A40" s="37"/>
      <c r="B40" s="38" t="str">
        <f>(IF($C$3=0,"",IF($C$3="A",Tablolar!B264,IF($C$3="B",Tablolar!B94, IF(AND(OR($C$3="C",$C$3="Ç"),$B$3="KAMYONET"),Tablolar!B143, IF($C$3="D",Tablolar!B179, IF($C$3="E",Tablolar!B216, IF($C$3="F",Tablolar!B252,0))))))))</f>
        <v/>
      </c>
      <c r="C40" s="39">
        <f>(IF($C$3=0,0,VLOOKUP(B40,IF($C$3="A",Tablolar!$B$264:$C$265,IF($C$3="B",Tablolar!$B$70:$C$113, IF(OR($C$3="C",$C$3="Ç"),Tablolar!$B$119:$C$150, IF($C$3="D",Tablolar!$B$155:$C$186, IF($C$3="E",Tablolar!$B$192:$C$223, IF($C$3="F",Tablolar!$B$228:$C$259,Tablolar!$B$264:$C$295)))))),2,FALSE)))*IF(Tablolar!A58=TRUE,1,0)</f>
        <v>0</v>
      </c>
      <c r="D40" s="40"/>
      <c r="E40" s="41" t="str">
        <f>(IF($C$3=0,"",IF($C$3="A",Tablolar!B264,IF($C$3="B",Tablolar!B94, IF(AND(OR($C$3="C",$C$3="Ç"),$B$3="KAMYONET"),Tablolar!B143, IF($C$3="D",Tablolar!B179, IF($C$3="E",Tablolar!B216, IF($C$3="F",Tablolar!B252,0))))))))</f>
        <v/>
      </c>
      <c r="F40" s="42"/>
      <c r="G40" s="42"/>
      <c r="H40" s="43">
        <f>IF(AND(Tablolar!D58=TRUE,F40=0),IF(Tablolar!D58=TRUE,VLOOKUP(E40,IF($C$3="A",Tablolar!$E$264:$H$265,IF($C$3="B",Tablolar!$E$70:$H$113,IF(OR($C$3="C",$C$3="Ç"),Tablolar!$E$119:$H$150,IF($C$3="D",Tablolar!$E$155:$H$186,IF($C$3="E",Tablolar!$E$192:$H$223,IF($C$3="F",Tablolar!$E$228:$H$259,Tablolar!$E$264:$H$295)))))),4,FALSE),0),(IF(OR($C$3=0,F40=0),0,VLOOKUP(E40,IF($C$3="A",Tablolar!$E$264:$H$265,IF($C$3="B",Tablolar!$E$70:$H$113,IF(OR($C$3="C",$C$3="Ç"),Tablolar!$E$119:$H$150,IF($C$3="D",Tablolar!$E$155:$H$186,IF($C$3="E",Tablolar!$E$192:$H$223,IF($C$3="F",Tablolar!$E$228:$H$259,Tablolar!$E$264:$H$295)))))),IF(G40/F40&lt;0.15,2,IF(AND(G40/F40&gt;=0.15,G40/F40&lt;0.3),3,IF(G40/F40&gt;=0.3,4,0))),FALSE))))</f>
        <v>0</v>
      </c>
      <c r="I40" s="41" t="str">
        <f>(IF($C$3=0,"",IF($C$3="A",Tablolar!B264,IF($C$3="B",Tablolar!B94, IF(AND(OR($C$3="C",$C$3="Ç"),$B$3="KAMYONET"),Tablolar!B143, IF($C$3="D",Tablolar!B179, IF($C$3="E",Tablolar!B216, IF($C$3="F",Tablolar!B252,0))))))))</f>
        <v/>
      </c>
      <c r="J40" s="44"/>
      <c r="K40" s="45">
        <f>IF(J40="TAM", IF($C$3="A",Tablolar!K264, IF($C$3="B",Tablolar!K94, IF(OR($C$3="C",$C$3="Ç"),Tablolar!K143, IF($C$3="D",Tablolar!K179, IF($C$3="E",Tablolar!K216, IF($C$3="F",Tablolar!K252, Tablolar!K184)))))), IF(J40="LOKAL", IF($C$3="A",Tablolar!L264, IF($C$3="B",Tablolar!L94, IF(OR($C$3="C",$C$3="Ç"),Tablolar!L143, IF($C$3="D",Tablolar!L179, IF($C$3="E",Tablolar!L216, IF($C$3="F",Tablolar!L252, Tablolar!L288)))))),0))</f>
        <v>0</v>
      </c>
    </row>
    <row r="41" spans="1:11" ht="17.100000000000001" customHeight="1" x14ac:dyDescent="0.25">
      <c r="A41" s="20"/>
      <c r="B41" s="21" t="str">
        <f>(IF($C$3=0,"",IF($C$3="A",Tablolar!B265,IF($C$3="B",Tablolar!B95, IF(AND(OR($C$3="C",$C$3="Ç"),$B$3="KAMYONET"),Tablolar!B144, IF(OR($C$3="C",$C$3="Ç"),Tablolar!B147, IF($C$3="D",Tablolar!B180, IF($C$3="E",Tablolar!B217, IF($C$3="F",Tablolar!B253,0)))))))))</f>
        <v/>
      </c>
      <c r="C41" s="24">
        <f>(IF($C$3=0,0,VLOOKUP(B41,IF($C$3="A",Tablolar!$B$264:$C$265,IF($C$3="B",Tablolar!$B$70:$C$113, IF(OR($C$3="C",$C$3="Ç"),Tablolar!$B$119:$C$150, IF($C$3="D",Tablolar!$B$155:$C$186, IF($C$3="E",Tablolar!$B$192:$C$223, IF($C$3="F",Tablolar!$B$228:$C$259,Tablolar!$B$264:$C$295)))))),2,FALSE)))*IF(Tablolar!A59=TRUE,1,0)</f>
        <v>0</v>
      </c>
      <c r="D41" s="16"/>
      <c r="E41" s="9" t="str">
        <f>(IF($C$3=0,"",IF($C$3="A",Tablolar!B265,IF($C$3="B",Tablolar!B95, IF(AND(OR($C$3="C",$C$3="Ç"),$B$3="KAMYONET"),Tablolar!B144, IF(OR($C$3="C",$C$3="Ç"),Tablolar!B147, IF($C$3="D",Tablolar!B180, IF($C$3="E",Tablolar!B217, IF($C$3="F",Tablolar!B253,0)))))))))</f>
        <v/>
      </c>
      <c r="F41" s="26"/>
      <c r="G41" s="26"/>
      <c r="H41" s="25">
        <f>IF(AND(Tablolar!D59=TRUE,F41=0),IF(Tablolar!D59=TRUE,VLOOKUP(E41,IF($C$3="A",Tablolar!$E$264:$H$265,IF($C$3="B",Tablolar!$E$70:$H$113,IF(OR($C$3="C",$C$3="Ç"),Tablolar!$E$119:$H$150,IF($C$3="D",Tablolar!$E$155:$H$186,IF($C$3="E",Tablolar!$E$192:$H$223,IF($C$3="F",Tablolar!$E$228:$H$259,Tablolar!$E$264:$H$295)))))),4,FALSE),0),(IF(OR($C$3=0,F41=0),0,VLOOKUP(E41,IF($C$3="A",Tablolar!$E$264:$H$265,IF($C$3="B",Tablolar!$E$70:$H$113,IF(OR($C$3="C",$C$3="Ç"),Tablolar!$E$119:$H$150,IF($C$3="D",Tablolar!$E$155:$H$186,IF($C$3="E",Tablolar!$E$192:$H$223,IF($C$3="F",Tablolar!$E$228:$H$259,Tablolar!$E$264:$H$295)))))),IF(G41/F41&lt;0.15,2,IF(AND(G41/F41&gt;=0.15,G41/F41&lt;0.3),3,IF(G41/F41&gt;=0.3,4,0))),FALSE))))</f>
        <v>0</v>
      </c>
      <c r="I41" s="9" t="str">
        <f>(IF($C$3=0,"",IF($C$3="A",Tablolar!B265,IF($C$3="B",Tablolar!B95, IF(AND(OR($C$3="C",$C$3="Ç"),$B$3="KAMYONET"),Tablolar!B144, IF(OR($C$3="C",$C$3="Ç"),Tablolar!B147, IF($C$3="D",Tablolar!B180, IF($C$3="E",Tablolar!B217, IF($C$3="F",Tablolar!B253,0)))))))))</f>
        <v/>
      </c>
      <c r="J41" s="23"/>
      <c r="K41" s="17">
        <f>IF(J41="TAM", IF($C$3="A",Tablolar!K265, IF($C$3="B",Tablolar!K95, IF(OR($C$3="C",$C$3="Ç"),Tablolar!K144, IF($C$3="D",Tablolar!K180, IF($C$3="E",Tablolar!K217, IF($C$3="F",Tablolar!K253, Tablolar!K185)))))), IF(J41="LOKAL", IF($C$3="A",Tablolar!L265, IF($C$3="B",Tablolar!L95, IF(OR($C$3="C",$C$3="Ç"),Tablolar!L144, IF($C$3="D",Tablolar!L180, IF($C$3="E",Tablolar!L217, IF($C$3="F",Tablolar!L253, Tablolar!L289)))))),0))</f>
        <v>0</v>
      </c>
    </row>
    <row r="42" spans="1:11" ht="17.100000000000001" customHeight="1" x14ac:dyDescent="0.25">
      <c r="A42" s="37"/>
      <c r="B42" s="38" t="str">
        <f>(IF($C$3=0,"",IF($C$3="A",Tablolar!B58,IF($C$3="B",Tablolar!B96, IF(AND(OR($C$3="C",$C$3="Ç"),$B$3="KAMYONET"),Tablolar!B145, IF(OR($C$3="C",$C$3="Ç"),Tablolar!B147, IF($C$3="D",Tablolar!B181, IF($C$3="E",Tablolar!B218, IF($C$3="F",Tablolar!B254,0)))))))))</f>
        <v/>
      </c>
      <c r="C42" s="39">
        <f>(IF($C$3=0,0,VLOOKUP(B42,IF($C$3="A",Tablolar!$B$34:$C$66,IF($C$3="B",Tablolar!$B$70:$C$113, IF(OR($C$3="C",$C$3="Ç"),Tablolar!$B$119:$C$150, IF($C$3="D",Tablolar!$B$155:$C$186, IF($C$3="E",Tablolar!$B$192:$C$223, IF($C$3="F",Tablolar!$B$228:$C$259,Tablolar!$B$264:$C$295)))))),2,FALSE)))*IF(Tablolar!A60=TRUE,1,0)</f>
        <v>0</v>
      </c>
      <c r="D42" s="40"/>
      <c r="E42" s="41" t="str">
        <f>(IF($C$3=0,"",IF($C$3="A",Tablolar!B58,IF($C$3="B",Tablolar!B96, IF(AND(OR($C$3="C",$C$3="Ç"),$B$3="KAMYONET"),Tablolar!B145, IF(OR($C$3="C",$C$3="Ç"),Tablolar!B147, IF($C$3="D",Tablolar!B181, IF($C$3="E",Tablolar!B218, IF($C$3="F",Tablolar!B254,0)))))))))</f>
        <v/>
      </c>
      <c r="F42" s="42"/>
      <c r="G42" s="42"/>
      <c r="H42" s="43">
        <f>IF(AND(Tablolar!D60=TRUE,F42=0),IF(Tablolar!D60=TRUE,VLOOKUP(E42,IF($C$3="A",Tablolar!$E$34:$H$66,IF($C$3="B",Tablolar!$E$70:$H$113,IF(OR($C$3="C",$C$3="Ç"),Tablolar!$E$119:$H$150,IF($C$3="D",Tablolar!$E$155:$H$186,IF($C$3="E",Tablolar!$E$192:$H$223,IF($C$3="F",Tablolar!$E$228:$H$259,Tablolar!$E$264:$H$295)))))),4,FALSE),0),(IF(OR($C$3=0,F42=0),0,VLOOKUP(E42,IF($C$3="A",Tablolar!$E$34:$H$66,IF($C$3="B",Tablolar!$E$70:$H$113,IF(OR($C$3="C",$C$3="Ç"),Tablolar!$E$119:$H$150,IF($C$3="D",Tablolar!$E$155:$H$186,IF($C$3="E",Tablolar!$E$192:$H$223,IF($C$3="F",Tablolar!$E$228:$H$259,Tablolar!$E$264:$H$295)))))),IF(G42/F42&lt;0.15,2,IF(AND(G42/F42&gt;=0.15,G42/F42&lt;0.3),3,IF(G42/F42&gt;=0.3,4,0))),FALSE))))</f>
        <v>0</v>
      </c>
      <c r="I42" s="41" t="str">
        <f>(IF($C$3=0,"",IF($C$3="A",Tablolar!B58,IF($C$3="B",Tablolar!B96, IF(AND(OR($C$3="C",$C$3="Ç"),$B$3="KAMYONET"),Tablolar!B145, IF(OR($C$3="C",$C$3="Ç"),Tablolar!B147, IF($C$3="D",Tablolar!B181, IF($C$3="E",Tablolar!B218, IF($C$3="F",Tablolar!B254,0)))))))))</f>
        <v/>
      </c>
      <c r="J42" s="44"/>
      <c r="K42" s="45">
        <f>IF(J42="TAM", IF($C$3="A",Tablolar!K58, IF($C$3="B",Tablolar!K96, IF(OR($C$3="C",$C$3="Ç"),Tablolar!K145, IF($C$3="D",Tablolar!K181, IF($C$3="E",Tablolar!K218, IF($C$3="F",Tablolar!K254, Tablolar!K186)))))), IF(J42="LOKAL", IF($C$3="A",Tablolar!L58, IF($C$3="B",Tablolar!L96, IF(OR($C$3="C",$C$3="Ç"),Tablolar!L145, IF($C$3="D",Tablolar!L181, IF($C$3="E",Tablolar!L218, IF($C$3="F",Tablolar!L254, Tablolar!L290)))))),0))</f>
        <v>0</v>
      </c>
    </row>
    <row r="43" spans="1:11" ht="17.100000000000001" customHeight="1" x14ac:dyDescent="0.25">
      <c r="A43" s="20"/>
      <c r="B43" s="21" t="str">
        <f>(IF($C$3=0,"",IF($C$3="A",Tablolar!B59,IF($C$3="B",Tablolar!B97, IF(AND(OR($C$3="C",$C$3="Ç"),$B$3="KAMYONET"),Tablolar!B146, IF(OR($C$3="C",$C$3="Ç"),Tablolar!B147, IF($C$3="D",Tablolar!B182, IF($C$3="E",Tablolar!B219, IF($C$3="F",Tablolar!B255,0)))))))))</f>
        <v/>
      </c>
      <c r="C43" s="24">
        <f>(IF($C$3=0,0,VLOOKUP(B43,IF($C$3="A",Tablolar!$B$34:$C$66,IF($C$3="B",Tablolar!$B$70:$C$113, IF(OR($C$3="C",$C$3="Ç"),Tablolar!$B$119:$C$150, IF($C$3="D",Tablolar!$B$155:$C$186, IF($C$3="E",Tablolar!$B$192:$C$223, IF($C$3="F",Tablolar!$B$228:$C$259,Tablolar!$B$264:$C$295)))))),2,FALSE)))*IF(Tablolar!A61=TRUE,1,0)</f>
        <v>0</v>
      </c>
      <c r="D43" s="16"/>
      <c r="E43" s="9" t="str">
        <f>(IF($C$3=0,"",IF($C$3="A",Tablolar!B59,IF($C$3="B",Tablolar!B97, IF(AND(OR($C$3="C",$C$3="Ç"),$B$3="KAMYONET"),Tablolar!B146, IF($C$3="D",Tablolar!B182, IF($C$3="E",Tablolar!B219, IF($C$3="F",Tablolar!B255,0))))))))</f>
        <v/>
      </c>
      <c r="F43" s="26"/>
      <c r="G43" s="26"/>
      <c r="H43" s="25">
        <f>IF(AND(Tablolar!D61=TRUE,F43=0),IF(Tablolar!D61=TRUE,VLOOKUP(E43,IF($C$3="A",Tablolar!$E$34:$H$66,IF($C$3="B",Tablolar!$E$70:$H$113,IF(OR($C$3="C",$C$3="Ç"),Tablolar!$E$119:$H$150,IF($C$3="D",Tablolar!$E$155:$H$186,IF($C$3="E",Tablolar!$E$192:$H$223,IF($C$3="F",Tablolar!$E$228:$H$259,Tablolar!$E$264:$H$295)))))),4,FALSE),0),(IF(OR($C$3=0,F43=0),0,VLOOKUP(E43,IF($C$3="A",Tablolar!$E$34:$H$66,IF($C$3="B",Tablolar!$E$70:$H$113,IF(OR($C$3="C",$C$3="Ç"),Tablolar!$E$119:$H$150,IF($C$3="D",Tablolar!$E$155:$H$186,IF($C$3="E",Tablolar!$E$192:$H$223,IF($C$3="F",Tablolar!$E$228:$H$259,Tablolar!$E$264:$H$295)))))),IF(G43/F43&lt;0.15,2,IF(AND(G43/F43&gt;=0.15,G43/F43&lt;0.3),3,IF(G43/F43&gt;=0.3,4,0))),FALSE))))</f>
        <v>0</v>
      </c>
      <c r="I43" s="9" t="str">
        <f>(IF($C$3=0,"",IF($C$3="A",Tablolar!B59,IF($C$3="B",Tablolar!B97, IF(AND(OR($C$3="C",$C$3="Ç"),$B$3="KAMYONET"),Tablolar!B146, IF($C$3="D",Tablolar!B182, IF($C$3="E",Tablolar!B219, IF($C$3="F",Tablolar!B255,0))))))))</f>
        <v/>
      </c>
      <c r="J43" s="23"/>
      <c r="K43" s="17">
        <f>IF(J43="TAM", IF($C$3="A",Tablolar!K59, IF($C$3="B",Tablolar!K97, IF(OR($C$3="C",$C$3="Ç"),Tablolar!K146, IF($C$3="D",Tablolar!K182, IF($C$3="E",Tablolar!K219, IF($C$3="F",Tablolar!K255, Tablolar!K189)))))), IF(J43="LOKAL", IF($C$3="A",Tablolar!L59, IF($C$3="B",Tablolar!L97, IF(OR($C$3="C",$C$3="Ç"),Tablolar!L146, IF($C$3="D",Tablolar!L182, IF($C$3="E",Tablolar!L219, IF($C$3="F",Tablolar!L255, Tablolar!L291)))))),0))</f>
        <v>0</v>
      </c>
    </row>
    <row r="44" spans="1:11" ht="17.100000000000001" customHeight="1" x14ac:dyDescent="0.25">
      <c r="A44" s="37"/>
      <c r="B44" s="38" t="str">
        <f>(IF($C$3=0,"",IF($C$3="A",Tablolar!B60,IF($C$3="B",Tablolar!B98, IF(OR($C$3="C",$C$3="Ç"),Tablolar!B147, IF($C$3="D",Tablolar!B183, IF($C$3="E",Tablolar!B220, IF($C$3="F",Tablolar!B256,0))))))))</f>
        <v/>
      </c>
      <c r="C44" s="39">
        <f>(IF($C$3=0,0,VLOOKUP(B44,IF($C$3="A",Tablolar!$B$34:$C$66,IF($C$3="B",Tablolar!$B$70:$C$113, IF(OR($C$3="C",$C$3="Ç"),Tablolar!$B$119:$C$150, IF($C$3="D",Tablolar!$B$155:$C$186, IF($C$3="E",Tablolar!$B$192:$C$223, IF($C$3="F",Tablolar!$B$228:$C$259,Tablolar!$B$264:$C$295)))))),2,FALSE)))*IF(Tablolar!A62=TRUE,1,0)</f>
        <v>0</v>
      </c>
      <c r="D44" s="40"/>
      <c r="E44" s="41" t="str">
        <f>(IF($C$3=0,"",IF($C$3="A",Tablolar!B60,IF($C$3="B",Tablolar!B98, IF(OR($C$3="C",$C$3="Ç"),Tablolar!B147, IF($C$3="D",Tablolar!B183, IF($C$3="E",Tablolar!B220, IF($C$3="F",Tablolar!B256,0))))))))</f>
        <v/>
      </c>
      <c r="F44" s="42"/>
      <c r="G44" s="42"/>
      <c r="H44" s="43">
        <f>IF(AND(Tablolar!D62=TRUE,F44=0),IF(Tablolar!D62=TRUE,VLOOKUP(E44,IF($C$3="A",Tablolar!$E$34:$H$66,IF($C$3="B",Tablolar!$E$70:$H$113,IF(OR($C$3="C",$C$3="Ç"),Tablolar!$E$119:$H$150,IF($C$3="D",Tablolar!$E$155:$H$186,IF($C$3="E",Tablolar!$E$192:$H$223,IF($C$3="F",Tablolar!$E$228:$H$259,Tablolar!$E$264:$H$295)))))),4,FALSE),0),(IF(OR($C$3=0,F44=0),0,VLOOKUP(E44,IF($C$3="A",Tablolar!$E$34:$H$66,IF($C$3="B",Tablolar!$E$70:$H$113,IF(OR($C$3="C",$C$3="Ç"),Tablolar!$E$119:$H$150,IF($C$3="D",Tablolar!$E$155:$H$186,IF($C$3="E",Tablolar!$E$192:$H$223,IF($C$3="F",Tablolar!$E$228:$H$259,Tablolar!$E$264:$H$295)))))),IF(G44/F44&lt;0.15,2,IF(AND(G44/F44&gt;=0.15,G44/F44&lt;0.3),3,IF(G44/F44&gt;=0.3,4,0))),FALSE))))</f>
        <v>0</v>
      </c>
      <c r="I44" s="41" t="str">
        <f>(IF($C$3=0,"",IF($C$3="A",Tablolar!B60,IF($C$3="B",Tablolar!B98, IF(OR($C$3="C",$C$3="Ç"),Tablolar!B147, IF($C$3="D",Tablolar!B183, IF($C$3="E",Tablolar!B220, IF($C$3="F",Tablolar!B256,0))))))))</f>
        <v/>
      </c>
      <c r="J44" s="44"/>
      <c r="K44" s="45">
        <f>IF(J44="TAM", IF($C$3="A",Tablolar!K60, IF($C$3="B",Tablolar!K98, IF(OR($C$3="C",$C$3="Ç"),Tablolar!K135, IF($C$3="D",Tablolar!K171, IF($C$3="E",Tablolar!K208, IF($C$3="F",Tablolar!K244, Tablolar!K176)))))), IF(J44="LOKAL", IF($C$3="A",Tablolar!L60, IF($C$3="B",Tablolar!L98, IF(OR($C$3="C",$C$3="Ç"),Tablolar!L135, IF($C$3="D",Tablolar!L171, IF($C$3="E",Tablolar!L208, IF($C$3="F",Tablolar!L244, Tablolar!L280)))))),0))</f>
        <v>0</v>
      </c>
    </row>
    <row r="45" spans="1:11" ht="17.100000000000001" customHeight="1" x14ac:dyDescent="0.25">
      <c r="A45" s="20"/>
      <c r="B45" s="21" t="str">
        <f>(IF($C$3=0,"",IF($C$3="A",Tablolar!B61,IF($C$3="B",Tablolar!B99, IF(OR($C$3="C",$C$3="Ç"),Tablolar!B148, IF($C$3="D",Tablolar!B184, IF($C$3="E",Tablolar!B221, IF($C$3="F",Tablolar!B257,0))))))))</f>
        <v/>
      </c>
      <c r="C45" s="24">
        <f>(IF($C$3=0,0,VLOOKUP(B45,IF($C$3="A",Tablolar!$B$34:$C$66,IF($C$3="B",Tablolar!$B$70:$C$113, IF(OR($C$3="C",$C$3="Ç"),Tablolar!$B$119:$C$150, IF($C$3="D",Tablolar!$B$155:$C$186, IF($C$3="E",Tablolar!$B$192:$C$223, IF($C$3="F",Tablolar!$B$228:$C$259,Tablolar!$B$264:$C$295)))))),2,FALSE)))*IF(Tablolar!A63=TRUE,1,0)</f>
        <v>0</v>
      </c>
      <c r="D45" s="16"/>
      <c r="E45" s="9" t="str">
        <f>(IF($C$3=0,"",IF($C$3="A",Tablolar!B61,IF($C$3="B",Tablolar!B99, IF(OR($C$3="C",$C$3="Ç"),Tablolar!B148, IF($C$3="D",Tablolar!B184, IF($C$3="E",Tablolar!B221, IF($C$3="F",Tablolar!B257,0))))))))</f>
        <v/>
      </c>
      <c r="F45" s="26"/>
      <c r="G45" s="26"/>
      <c r="H45" s="25">
        <f>IF(AND(Tablolar!D63=TRUE,F45=0),IF(Tablolar!D63=TRUE,VLOOKUP(E45,IF($C$3="A",Tablolar!$E$34:$H$66,IF($C$3="B",Tablolar!$E$70:$H$113,IF(OR($C$3="C",$C$3="Ç"),Tablolar!$E$119:$H$150,IF($C$3="D",Tablolar!$E$155:$H$186,IF($C$3="E",Tablolar!$E$192:$H$223,IF($C$3="F",Tablolar!$E$228:$H$259,Tablolar!$E$264:$H$295)))))),4,FALSE),0),(IF(OR($C$3=0,F45=0),0,VLOOKUP(E45,IF($C$3="A",Tablolar!$E$34:$H$66,IF($C$3="B",Tablolar!$E$70:$H$113,IF(OR($C$3="C",$C$3="Ç"),Tablolar!$E$119:$H$150,IF($C$3="D",Tablolar!$E$155:$H$186,IF($C$3="E",Tablolar!$E$192:$H$223,IF($C$3="F",Tablolar!$E$228:$H$259,Tablolar!$E$264:$H$295)))))),IF(G45/F45&lt;0.15,2,IF(AND(G45/F45&gt;=0.15,G45/F45&lt;0.3),3,IF(G45/F45&gt;=0.3,4,0))),FALSE))))</f>
        <v>0</v>
      </c>
      <c r="I45" s="9" t="str">
        <f>(IF($C$3=0,"",IF($C$3="A",Tablolar!B61,IF($C$3="B",Tablolar!B99, IF(OR($C$3="C",$C$3="Ç"),Tablolar!B148, IF($C$3="D",Tablolar!B184, IF($C$3="E",Tablolar!B221, IF($C$3="F",Tablolar!B257,0))))))))</f>
        <v/>
      </c>
      <c r="J45" s="23"/>
      <c r="K45" s="17">
        <f>IF(J45="TAM", IF($C$3="A",Tablolar!K61, IF($C$3="B",Tablolar!K99, IF(OR($C$3="C",$C$3="Ç"),Tablolar!K136, IF($C$3="D",Tablolar!K172, IF($C$3="E",Tablolar!K209, IF($C$3="F",Tablolar!K245, Tablolar!K177)))))), IF(J45="LOKAL", IF($C$3="A",Tablolar!L61, IF($C$3="B",Tablolar!L99, IF(OR($C$3="C",$C$3="Ç"),Tablolar!L136, IF($C$3="D",Tablolar!L172, IF($C$3="E",Tablolar!L209, IF($C$3="F",Tablolar!L245, Tablolar!L281)))))),0))</f>
        <v>0</v>
      </c>
    </row>
    <row r="46" spans="1:11" ht="17.100000000000001" customHeight="1" x14ac:dyDescent="0.25">
      <c r="A46" s="37"/>
      <c r="B46" s="38" t="str">
        <f>(IF($C$3=0,"",IF($C$3="A",Tablolar!B62,IF($C$3="B",Tablolar!B100, IF(OR($C$3="C",$C$3="Ç"),Tablolar!B149, IF($C$3="D",Tablolar!B185, IF($C$3="E",Tablolar!B222, IF($C$3="F",Tablolar!B258,0))))))))</f>
        <v/>
      </c>
      <c r="C46" s="39">
        <f>(IF($C$3=0,0,VLOOKUP(B46,IF($C$3="A",Tablolar!$B$34:$C$66,IF($C$3="B",Tablolar!$B$70:$C$113, IF(OR($C$3="C",$C$3="Ç"),Tablolar!$B$119:$C$150, IF($C$3="D",Tablolar!$B$155:$C$186, IF($C$3="E",Tablolar!$B$192:$C$223, IF($C$3="F",Tablolar!$B$228:$C$259,Tablolar!$B$264:$C$295)))))),2,FALSE)))*IF(Tablolar!A64=TRUE,1,0)</f>
        <v>0</v>
      </c>
      <c r="D46" s="40"/>
      <c r="E46" s="41" t="str">
        <f>(IF($C$3=0,"",IF($C$3="A",Tablolar!B62,IF($C$3="B",Tablolar!B100, IF(OR($C$3="C",$C$3="Ç"),Tablolar!B149, IF($C$3="D",Tablolar!B185, IF($C$3="E",Tablolar!B222, IF($C$3="F",Tablolar!B258,0))))))))</f>
        <v/>
      </c>
      <c r="F46" s="42"/>
      <c r="G46" s="42"/>
      <c r="H46" s="43">
        <f>IF(AND(Tablolar!D64=TRUE,F46=0),IF(Tablolar!D64=TRUE,VLOOKUP(E46,IF($C$3="A",Tablolar!$E$34:$H$66,IF($C$3="B",Tablolar!$E$70:$H$113,IF(OR($C$3="C",$C$3="Ç"),Tablolar!$E$119:$H$150,IF($C$3="D",Tablolar!$E$155:$H$186,IF($C$3="E",Tablolar!$E$192:$H$223,IF($C$3="F",Tablolar!$E$228:$H$259,Tablolar!$E$264:$H$295)))))),4,FALSE),0),(IF(OR($C$3=0,F46=0),0,VLOOKUP(E46,IF($C$3="A",Tablolar!$E$34:$H$66,IF($C$3="B",Tablolar!$E$70:$H$113,IF(OR($C$3="C",$C$3="Ç"),Tablolar!$E$119:$H$150,IF($C$3="D",Tablolar!$E$155:$H$186,IF($C$3="E",Tablolar!$E$192:$H$223,IF($C$3="F",Tablolar!$E$228:$H$259,Tablolar!$E$264:$H$295)))))),IF(G46/F46&lt;0.15,2,IF(AND(G46/F46&gt;=0.15,G46/F46&lt;0.3),3,IF(G46/F46&gt;=0.3,4,0))),FALSE))))</f>
        <v>0</v>
      </c>
      <c r="I46" s="41" t="str">
        <f>(IF($C$3=0,"",IF($C$3="A",Tablolar!B62,IF($C$3="B",Tablolar!B100, IF(OR($C$3="C",$C$3="Ç"),Tablolar!B149, IF($C$3="D",Tablolar!B185, IF($C$3="E",Tablolar!B222, IF($C$3="F",Tablolar!B258,0))))))))</f>
        <v/>
      </c>
      <c r="J46" s="44"/>
      <c r="K46" s="45">
        <f>IF(J46="TAM", IF($C$3="A",Tablolar!K62, IF($C$3="B",Tablolar!K100, IF(OR($C$3="C",$C$3="Ç"),Tablolar!K137, IF($C$3="D",Tablolar!K173, IF($C$3="E",Tablolar!K210, IF($C$3="F",Tablolar!K246, Tablolar!K178)))))), IF(J46="LOKAL", IF($C$3="A",Tablolar!L62, IF($C$3="B",Tablolar!L100, IF(OR($C$3="C",$C$3="Ç"),Tablolar!L137, IF($C$3="D",Tablolar!L173, IF($C$3="E",Tablolar!L210, IF($C$3="F",Tablolar!L246, Tablolar!L282)))))),0))</f>
        <v>0</v>
      </c>
    </row>
    <row r="47" spans="1:11" ht="17.100000000000001" customHeight="1" x14ac:dyDescent="0.25">
      <c r="A47" s="20"/>
      <c r="B47" s="21" t="str">
        <f>(IF($C$3=0,"",IF($C$3="A",Tablolar!B63,IF($C$3="B",Tablolar!B101, IF(OR($C$3="C",$C$3="Ç"),Tablolar!B150, IF($C$3="D",Tablolar!B186, IF($C$3="E",Tablolar!B223, IF($C$3="F",Tablolar!B259,0))))))))</f>
        <v/>
      </c>
      <c r="C47" s="24">
        <f>(IF($C$3=0,0,VLOOKUP(B47,IF($C$3="A",Tablolar!$B$34:$C$66,IF($C$3="B",Tablolar!$B$70:$C$113, IF(OR($C$3="C",$C$3="Ç"),Tablolar!$B$119:$C$150, IF($C$3="D",Tablolar!$B$155:$C$186, IF($C$3="E",Tablolar!$B$192:$C$223, IF($C$3="F",Tablolar!$B$228:$C$259,Tablolar!$B$264:$C$295)))))),2,FALSE)))*IF(Tablolar!A65=TRUE,1,0)</f>
        <v>0</v>
      </c>
      <c r="D47" s="16"/>
      <c r="E47" s="9" t="str">
        <f>(IF($C$3=0,"",IF($C$3="A",Tablolar!B63,IF($C$3="B",Tablolar!B101, IF(OR($C$3="C",$C$3="Ç"),Tablolar!B150, IF($C$3="D",Tablolar!B186, IF($C$3="E",Tablolar!B223, IF($C$3="F",Tablolar!B259,0))))))))</f>
        <v/>
      </c>
      <c r="F47" s="26"/>
      <c r="G47" s="26"/>
      <c r="H47" s="25">
        <f>IF(AND(Tablolar!D65=TRUE,F47=0),IF(Tablolar!D65=TRUE,VLOOKUP(E47,IF($C$3="A",Tablolar!$E$34:$H$66,IF($C$3="B",Tablolar!$E$70:$H$113,IF(OR($C$3="C",$C$3="Ç"),Tablolar!$E$119:$H$150,IF($C$3="D",Tablolar!$E$155:$H$186,IF($C$3="E",Tablolar!$E$192:$H$223,IF($C$3="F",Tablolar!$E$228:$H$259,Tablolar!$E$264:$H$295)))))),4,FALSE),0),(IF(OR($C$3=0,F47=0),0,VLOOKUP(E47,IF($C$3="A",Tablolar!$E$34:$H$66,IF($C$3="B",Tablolar!$E$70:$H$113,IF(OR($C$3="C",$C$3="Ç"),Tablolar!$E$119:$H$150,IF($C$3="D",Tablolar!$E$155:$H$186,IF($C$3="E",Tablolar!$E$192:$H$223,IF($C$3="F",Tablolar!$E$228:$H$259,Tablolar!$E$264:$H$295)))))),IF(G47/F47&lt;0.15,2,IF(AND(G47/F47&gt;=0.15,G47/F47&lt;0.3),3,IF(G47/F47&gt;=0.3,4,0))),FALSE))))</f>
        <v>0</v>
      </c>
      <c r="I47" s="9" t="str">
        <f>(IF($C$3=0,"",IF($C$3="A",Tablolar!B63,IF($C$3="B",Tablolar!B101, IF(OR($C$3="C",$C$3="Ç"),Tablolar!B150, IF($C$3="D",Tablolar!B186, IF($C$3="E",Tablolar!B223, IF($C$3="F",Tablolar!B259,0))))))))</f>
        <v/>
      </c>
      <c r="J47" s="23"/>
      <c r="K47" s="17">
        <f>IF(J47="TAM", IF($C$3="A",Tablolar!K63, IF($C$3="B",Tablolar!K101, IF(OR($C$3="C",$C$3="Ç"),Tablolar!K138, IF($C$3="D",Tablolar!K174, IF($C$3="E",Tablolar!K211, IF($C$3="F",Tablolar!K247, Tablolar!K179)))))), IF(J47="LOKAL", IF($C$3="A",Tablolar!L63, IF($C$3="B",Tablolar!L101, IF(OR($C$3="C",$C$3="Ç"),Tablolar!L138, IF($C$3="D",Tablolar!L174, IF($C$3="E",Tablolar!L211, IF($C$3="F",Tablolar!L247, Tablolar!L283)))))),0))</f>
        <v>0</v>
      </c>
    </row>
    <row r="48" spans="1:11" ht="17.100000000000001" customHeight="1" x14ac:dyDescent="0.25">
      <c r="A48" s="37"/>
      <c r="B48" s="38" t="str">
        <f>(IF($C$3=0,"",IF($C$3="A",Tablolar!B64,IF($C$3="B",Tablolar!B102, IF(OR($C$3="C",$C$3="Ç"),Tablolar!B151, IF($C$3="D",Tablolar!B187, IF($C$3="E",Tablolar!B224, IF($C$3="F",Tablolar!B260,0))))))))</f>
        <v/>
      </c>
      <c r="C48" s="39">
        <f>(IF($C$3=0,0,VLOOKUP(B48,IF($C$3="A",Tablolar!$B$34:$C$66,IF($C$3="B",Tablolar!$B$70:$C$113, IF(OR($C$3="C",$C$3="Ç"),Tablolar!$B$119:$C$150, IF($C$3="D",Tablolar!$B$155:$C$189, IF($C$3="E",Tablolar!$B$192:$C$223, IF($C$3="F",Tablolar!$B$228:$C$259,Tablolar!$B$264:$C$295)))))),2,FALSE)))*IF(Tablolar!A66=TRUE,1,0)</f>
        <v>0</v>
      </c>
      <c r="D48" s="40"/>
      <c r="E48" s="41" t="str">
        <f>(IF($C$3=0,"",IF($C$3="A",Tablolar!B$64,IF($C$3="B",Tablolar!B102, IF(OR($C$3="C",$C$3="Ç"),Tablolar!B151, IF($C$3="D",Tablolar!B187, IF($C$3="E",Tablolar!B224, IF($C$3="F",Tablolar!B260,0))))))))</f>
        <v/>
      </c>
      <c r="F48" s="42"/>
      <c r="G48" s="42"/>
      <c r="H48" s="43">
        <f>IF(AND(Tablolar!D66=TRUE,F48=0),IF(Tablolar!D66=TRUE,VLOOKUP(E48,IF($C$3="A",Tablolar!$E$192:$H$223,IF($C$3="B",Tablolar!$E$70:$H$113,IF(OR($C$3="C",$C$3="Ç"),Tablolar!$E$119:$H$150,IF($C$3="D",Tablolar!$E$155:$H$186,IF($C$3="E",Tablolar!$E$192:$H$223,IF($C$3="F",Tablolar!$E$228:$H$259,Tablolar!$E$264:$H$295)))))),4,FALSE),0),(IF(OR($C$3=0,F48=0),0,VLOOKUP(E48,IF($C$3="A",Tablolar!$E$34:$H$66,IF($C$3="B",Tablolar!$E$70:$H$113,IF(OR($C$3="C",$C$3="Ç"),Tablolar!$E$119:$H$150,IF($C$3="D",Tablolar!$E$155:$H$186,IF($C$3="E",Tablolar!$E$192:$H$223,IF($C$3="F",Tablolar!$E$228:$H$259,Tablolar!$E$264:$H$295)))))),IF(G48/F48&lt;0.15,2,IF(AND(G48/F48&gt;=0.15,G48/F48&lt;0.3),3,IF(G48/F48&gt;=0.3,4,0))),FALSE))))</f>
        <v>0</v>
      </c>
      <c r="I48" s="41" t="str">
        <f>(IF($C$3=0,"",IF($C$3="A",Tablolar!B$64,IF($C$3="B",Tablolar!B102, IF(OR($C$3="C",$C$3="Ç"),Tablolar!B151, IF($C$3="D",Tablolar!B187, IF($C$3="E",Tablolar!B224, IF($C$3="F",Tablolar!B260,0))))))))</f>
        <v/>
      </c>
      <c r="J48" s="44"/>
      <c r="K48" s="45">
        <f>IF(J48="TAM", IF($C$3="A",Tablolar!K64, IF($C$3="B",Tablolar!K102, IF(OR($C$3="C",$C$3="Ç"),Tablolar!K139, IF($C$3="D",Tablolar!K175, IF($C$3="E",Tablolar!K212, IF($C$3="F",Tablolar!K248, Tablolar!K180)))))), IF(J48="LOKAL", IF($C$3="A",Tablolar!L64, IF($C$3="B",Tablolar!L102, IF(OR($C$3="C",$C$3="Ç"),Tablolar!L139, IF($C$3="D",Tablolar!L175, IF($C$3="E",Tablolar!L212, IF($C$3="F",Tablolar!L248, Tablolar!L284)))))),0))</f>
        <v>0</v>
      </c>
    </row>
    <row r="49" spans="1:11" ht="17.100000000000001" customHeight="1" x14ac:dyDescent="0.25">
      <c r="A49" s="20"/>
      <c r="B49" s="21" t="str">
        <f>(IF($C$3=0,"",IF($C$3="A",Tablolar!B65,IF($C$3="B",Tablolar!B103, IF(OR($C$3="C",$C$3="Ç"),Tablolar!B152, IF($C$3="D",Tablolar!B188, IF($C$3="E",Tablolar!B225, IF($C$3="F",Tablolar!B261,0))))))))</f>
        <v/>
      </c>
      <c r="C49" s="24">
        <f>(IF($C$3=0,0,VLOOKUP(B49,IF($C$3="A",Tablolar!$B$34:$C$66,IF($C$3="B",Tablolar!$B$70:$C$113, IF(OR($C$3="C",$C$3="Ç"),Tablolar!$B$119:$C$150, IF($C$3="D",Tablolar!$B$155:$C$189, IF($C$3="E",Tablolar!$B$192:$C$223, IF($C$3="F",Tablolar!$B$228:$C$259,Tablolar!$B$264:$C$295)))))),2,FALSE)))*IF(Tablolar!A67=TRUE,1,0)</f>
        <v>0</v>
      </c>
      <c r="D49" s="16"/>
      <c r="E49" s="9" t="str">
        <f>(IF($C$3=0,"",IF($C$3="A",Tablolar!B$65,IF($C$3="B",Tablolar!B103, IF(OR($C$3="C",$C$3="Ç"),Tablolar!B152, IF($C$3="D",Tablolar!B188, IF($C$3="E",Tablolar!B225, IF($C$3="F",Tablolar!B261,0))))))))</f>
        <v/>
      </c>
      <c r="F49" s="26"/>
      <c r="G49" s="26"/>
      <c r="H49" s="25">
        <f>IF(AND(Tablolar!D67=TRUE,F49=0),IF(Tablolar!D67=TRUE,VLOOKUP(E49,IF($C$3="A",Tablolar!$E$192:$H$223,IF($C$3="B",Tablolar!$E$70:$H$113,IF(OR($C$3="C",$C$3="Ç"),Tablolar!$E$119:$H$150,IF($C$3="D",Tablolar!$E$155:$H$186,IF($C$3="E",Tablolar!$E$192:$H$223,IF($C$3="F",Tablolar!$E$228:$H$259,Tablolar!$E$266:$H$295)))))),4,FALSE),0),(IF(OR($C$3=0,F49=0),0,VLOOKUP(E49,IF($C$3="A",Tablolar!$E$34:$H$66,IF($C$3="B",Tablolar!$E$70:$H$113,IF(OR($C$3="C",$C$3="Ç"),Tablolar!$E$119:$H$150,IF($C$3="D",Tablolar!$E$155:$H$186,IF($C$3="E",Tablolar!$E$192:$H$223,IF($C$3="F",Tablolar!$E$228:$H$259,Tablolar!$E$264:$H$295)))))),IF(G49/F49&lt;0.15,2,IF(AND(G49/F49&gt;=0.15,G49/F49&lt;0.3),3,IF(G49/F49&gt;=0.3,4,0))),FALSE))))</f>
        <v>0</v>
      </c>
      <c r="I49" s="9" t="str">
        <f>(IF($C$3=0,"",IF($C$3="A",Tablolar!B$65,IF($C$3="B",Tablolar!B103, IF(OR($C$3="C",$C$3="Ç"),Tablolar!B152, IF($C$3="D",Tablolar!B188, IF($C$3="E",Tablolar!B225, IF($C$3="F",Tablolar!B261,0))))))))</f>
        <v/>
      </c>
      <c r="J49" s="23"/>
      <c r="K49" s="17">
        <f>IF(J49="TAM", IF($C$3="A",Tablolar!K65, IF($C$3="B",Tablolar!K103, IF(OR($C$3="C",$C$3="Ç"),Tablolar!K140, IF($C$3="D",Tablolar!K176, IF($C$3="E",Tablolar!K213, IF($C$3="F",Tablolar!K249, Tablolar!K181)))))), IF(J49="LOKAL", IF($C$3="A",Tablolar!L65, IF($C$3="B",Tablolar!L103, IF(OR($C$3="C",$C$3="Ç"),Tablolar!L140, IF($C$3="D",Tablolar!L176, IF($C$3="E",Tablolar!L213, IF($C$3="F",Tablolar!L249, Tablolar!L285)))))),0))</f>
        <v>0</v>
      </c>
    </row>
    <row r="50" spans="1:11" ht="17.100000000000001" customHeight="1" x14ac:dyDescent="0.25">
      <c r="A50" s="37"/>
      <c r="B50" s="38" t="str">
        <f>(IF($C$3=0,"",IF($C$3="A",Tablolar!B$66,IF($C$3="B",Tablolar!B104, IF(OR($C$3="C",$C$3="Ç"),Tablolar!B$152, IF($C$3="D",Tablolar!B189, IF($C$3="E",Tablolar!B$225, IF($C$3="F",Tablolar!B$261,0))))))))</f>
        <v/>
      </c>
      <c r="C50" s="39">
        <f>(IF($C$3=0,0,VLOOKUP(B50,IF($C$3="A",Tablolar!$B$34:$C$66,IF($C$3="B",Tablolar!$B$70:$C$113, IF(OR($C$3="C",$C$3="Ç"),Tablolar!$B$119:$C$150, IF($C$3="D",Tablolar!$B$155:$C$189, IF($C$3="E",Tablolar!$B$192:$C$223, IF($C$3="F",Tablolar!$B$228:$C$259,Tablolar!$B$264:$C$295)))))),2,FALSE)))*IF(Tablolar!A68=TRUE,1,0)</f>
        <v>0</v>
      </c>
      <c r="D50" s="40"/>
      <c r="E50" s="41" t="str">
        <f>(IF($C$3=0,"",IF($C$3="A",Tablolar!B$67,IF($C$3="B",Tablolar!B104, IF(OR($C$3="C",$C$3="Ç"),Tablolar!B$152, IF($C$3="D",Tablolar!B189, IF($C$3="E",Tablolar!B$225, IF($C$3="F",Tablolar!B$261,0))))))))</f>
        <v/>
      </c>
      <c r="F50" s="42"/>
      <c r="G50" s="42"/>
      <c r="H50" s="43">
        <f>IF(AND(Tablolar!D68=TRUE,F50=0),IF(Tablolar!D68=TRUE,VLOOKUP(E50,IF($C$3="A",Tablolar!$E$192:$H$223,IF($C$3="B",Tablolar!$E$70:$H$113,IF(OR($C$3="C",$C$3="Ç"),Tablolar!$E$119:$H$150,IF($C$3="D",Tablolar!$E$155:$H$186,IF($C$3="E",Tablolar!$E$192:$H$223,IF($C$3="F",Tablolar!$E$228:$H$259,Tablolar!$E$264:$H$295)))))),4,FALSE),0),(IF(OR($C$3=0,F50=0),0,VLOOKUP(E50,IF($C$3="A",Tablolar!$E$34:$H$66,IF($C$3="B",Tablolar!$E$70:$H$113,IF(OR($C$3="C",$C$3="Ç"),Tablolar!$E$119:$H$150,IF($C$3="D",Tablolar!$E$155:$H$186,IF($C$3="E",Tablolar!$E$192:$H$223,IF($C$3="F",Tablolar!$E$228:$H$259,Tablolar!$E$264:$H$295)))))),IF(G50/F50&lt;0.15,2,IF(AND(G50/F50&gt;=0.15,G50/F50&lt;0.3),3,IF(G50/F50&gt;=0.3,4,0))),FALSE))))</f>
        <v>0</v>
      </c>
      <c r="I50" s="41" t="str">
        <f>(IF($C$3=0,"",IF($C$3="A",Tablolar!B$67,IF($C$3="B",Tablolar!B104, IF(OR($C$3="C",$C$3="Ç"),Tablolar!B$152, IF($C$3="D",Tablolar!B189, IF($C$3="E",Tablolar!B$225, IF($C$3="F",Tablolar!B$261,0))))))))</f>
        <v/>
      </c>
      <c r="J50" s="44"/>
      <c r="K50" s="45">
        <f>IF(J50="TAM", IF($C$3="A",Tablolar!K66, IF($C$3="B",Tablolar!K104, IF(OR($C$3="C",$C$3="Ç"),Tablolar!K141, IF($C$3="D",Tablolar!K177, IF($C$3="E",Tablolar!K214, IF($C$3="F",Tablolar!K250, Tablolar!K182)))))), IF(J50="LOKAL", IF($C$3="A",Tablolar!L66, IF($C$3="B",Tablolar!L104, IF(OR($C$3="C",$C$3="Ç"),Tablolar!L141, IF($C$3="D",Tablolar!L177, IF($C$3="E",Tablolar!L214, IF($C$3="F",Tablolar!L250, Tablolar!L286)))))),0))</f>
        <v>0</v>
      </c>
    </row>
    <row r="51" spans="1:11" ht="17.100000000000001" customHeight="1" x14ac:dyDescent="0.25">
      <c r="A51" s="20"/>
      <c r="B51" s="21" t="str">
        <f>(IF($C$3=0,"",IF($C$3="A",Tablolar!B$67,IF($C$3="B",Tablolar!B107, IF(OR($C$3="C",$C$3="Ç"),Tablolar!B$152, IF($C$3="D",Tablolar!B$189, IF($C$3="E",Tablolar!B$225, IF($C$3="F",Tablolar!B$261,0))))))))</f>
        <v/>
      </c>
      <c r="C51" s="24">
        <f>(IF($C$3=0,0,VLOOKUP(B51,IF($C$3="A",Tablolar!$B$34:$C$67,IF($C$3="B",Tablolar!$B$70:$C$113, IF(OR($C$3="C",$C$3="Ç"),Tablolar!$B$119:$C$150, IF($C$3="D",Tablolar!$B$155:$C$189, IF($C$3="E",Tablolar!$B$192:$C$223, IF($C$3="F",Tablolar!$B$228:$C$259,Tablolar!$B$264:$C$295)))))),2,FALSE)))*IF(Tablolar!A69=TRUE,1,0)</f>
        <v>0</v>
      </c>
      <c r="D51" s="16"/>
      <c r="E51" s="9" t="str">
        <f>(IF($C$3=0,"",IF($C$3="A",Tablolar!B$67,IF($C$3="B",Tablolar!B107, IF(OR($C$3="C",$C$3="Ç"),Tablolar!B$152, IF($C$3="D",Tablolar!B$189, IF($C$3="E",Tablolar!B$225, IF($C$3="F",Tablolar!B$261,0))))))))</f>
        <v/>
      </c>
      <c r="F51" s="26"/>
      <c r="G51" s="26"/>
      <c r="H51" s="25">
        <f>IF(AND(Tablolar!D69=TRUE,F51=0),IF(Tablolar!D69=TRUE,VLOOKUP(E51,IF($C$3="A",Tablolar!$E$192:$H$223,IF($C$3="B",Tablolar!$E$70:$H$113,IF(OR($C$3="C",$C$3="Ç"),Tablolar!$E$119:$H$150,IF($C$3="D",Tablolar!$E$155:$H$186,IF($C$3="E",Tablolar!$E$192:$H$223,IF($C$3="F",Tablolar!$E$228:$H$259,Tablolar!$E$264:$H$295)))))),4,FALSE),0),(IF(OR($C$3=0,F51=0),0,VLOOKUP(E51,IF($C$3="A",Tablolar!$E$34:$H$66,IF($C$3="B",Tablolar!$E$70:$H$113,IF(OR($C$3="C",$C$3="Ç"),Tablolar!$E$119:$H$150,IF($C$3="D",Tablolar!$E$155:$H$186,IF($C$3="E",Tablolar!$E$192:$H$223,IF($C$3="F",Tablolar!$E$228:$H$259,Tablolar!$E$264:$H$295)))))),IF(G51/F51&lt;0.15,2,IF(AND(G51/F51&gt;=0.15,G51/F51&lt;0.3),3,IF(G51/F51&gt;=0.3,4,0))),FALSE))))</f>
        <v>0</v>
      </c>
      <c r="I51" s="9" t="str">
        <f>(IF($C$3=0,"",IF($C$3="A",Tablolar!B$67,IF($C$3="B",Tablolar!B107, IF(OR($C$3="C",$C$3="Ç"),Tablolar!B$152, IF($C$3="D",Tablolar!B$189, IF($C$3="E",Tablolar!B$225, IF($C$3="F",Tablolar!B$261,0))))))))</f>
        <v/>
      </c>
      <c r="J51" s="23"/>
      <c r="K51" s="17">
        <f>IF(J51="TAM", IF($C$3="A",Tablolar!K67, IF($C$3="B",Tablolar!K107, IF(OR($C$3="C",$C$3="Ç"),Tablolar!K142, IF($C$3="D",Tablolar!K178, IF($C$3="E",Tablolar!K215, IF($C$3="F",Tablolar!K251, Tablolar!K183)))))), IF(J51="LOKAL", IF($C$3="A",Tablolar!L67, IF($C$3="B",Tablolar!L107, IF(OR($C$3="C",$C$3="Ç"),Tablolar!L142, IF($C$3="D",Tablolar!L178, IF($C$3="E",Tablolar!L215, IF($C$3="F",Tablolar!L251, Tablolar!L287)))))),0))</f>
        <v>0</v>
      </c>
    </row>
    <row r="52" spans="1:11" ht="17.100000000000001" customHeight="1" x14ac:dyDescent="0.25">
      <c r="A52" s="37"/>
      <c r="B52" s="38" t="str">
        <f>(IF($C$3=0,"",IF($C$3="A",Tablolar!B$67,IF($C$3="B",Tablolar!B108, IF(OR($C$3="C",$C$3="Ç"),Tablolar!B$152, IF($C$3="D",Tablolar!B$189, IF($C$3="E",Tablolar!B$225, IF($C$3="F",Tablolar!B$261,0))))))))</f>
        <v/>
      </c>
      <c r="C52" s="39">
        <f>(IF($C$3=0,0,VLOOKUP(B52,IF($C$3="A",Tablolar!$B$34:$C$67,IF($C$3="B",Tablolar!$B$70:$C$113, IF(OR($C$3="C",$C$3="Ç"),Tablolar!$B$119:$C$150, IF($C$3="D",Tablolar!$B$155:$C$189, IF($C$3="E",Tablolar!$B$192:$C$223, IF($C$3="F",Tablolar!$B$228:$C$259,Tablolar!$B$264:$C$295)))))),2,FALSE)))*IF(Tablolar!A70=TRUE,1,0)</f>
        <v>0</v>
      </c>
      <c r="D52" s="40"/>
      <c r="E52" s="41" t="str">
        <f>(IF($C$3=0,"",IF($C$3="A",Tablolar!B$67,IF($C$3="B",Tablolar!B108, IF(OR($C$3="C",$C$3="Ç"),Tablolar!B$152, IF($C$3="D",Tablolar!B$189, IF($C$3="E",Tablolar!B$225, IF($C$3="F",Tablolar!B$261,0))))))))</f>
        <v/>
      </c>
      <c r="F52" s="42"/>
      <c r="G52" s="42"/>
      <c r="H52" s="43">
        <f>IF(AND(Tablolar!D70=TRUE,F52=0),IF(Tablolar!D70=TRUE,VLOOKUP(E52,IF($C$3="A",Tablolar!$E$192:$H$223,IF($C$3="B",Tablolar!$E$70:$H$113,IF(OR($C$3="C",$C$3="Ç"),Tablolar!$E$119:$H$150,IF($C$3="D",Tablolar!$E$155:$H$186,IF($C$3="E",Tablolar!$E$192:$H$223,IF($C$3="F",Tablolar!$E$228:$H$259,Tablolar!$E$264:$H$295)))))),4,FALSE),0),(IF(OR($C$3=0,F52=0),0,VLOOKUP(E52,IF($C$3="A",Tablolar!$E$34:$H$66,IF($C$3="B",Tablolar!$E$70:$H$113,IF(OR($C$3="C",$C$3="Ç"),Tablolar!$E$119:$H$150,IF($C$3="D",Tablolar!$E$155:$H$186,IF($C$3="E",Tablolar!$E$192:$H$223,IF($C$3="F",Tablolar!$E$228:$H$259,Tablolar!$E$264:$H$295)))))),IF(G52/F52&lt;0.15,2,IF(AND(G52/F52&gt;=0.15,G52/F52&lt;0.3),3,IF(G52/F52&gt;=0.3,4,0))),FALSE))))</f>
        <v>0</v>
      </c>
      <c r="I52" s="41" t="str">
        <f>(IF($C$3=0,"",IF($C$3="A",Tablolar!B$67,IF($C$3="B",Tablolar!B108, IF(OR($C$3="C",$C$3="Ç"),Tablolar!B$152, IF($C$3="D",Tablolar!B$189, IF($C$3="E",Tablolar!B$225, IF($C$3="F",Tablolar!B$261,0))))))))</f>
        <v/>
      </c>
      <c r="J52" s="44"/>
      <c r="K52" s="45">
        <f>IF(J52="TAM", IF($C$3="A",Tablolar!K68, IF($C$3="B",Tablolar!K108, IF(OR($C$3="C",$C$3="Ç"),Tablolar!K143, IF($C$3="D",Tablolar!K179, IF($C$3="E",Tablolar!K216, IF($C$3="F",Tablolar!K252, Tablolar!K184)))))), IF(J52="LOKAL", IF($C$3="A",Tablolar!L68, IF($C$3="B",Tablolar!L108, IF(OR($C$3="C",$C$3="Ç"),Tablolar!L143, IF($C$3="D",Tablolar!L179, IF($C$3="E",Tablolar!L216, IF($C$3="F",Tablolar!L252, Tablolar!L288)))))),0))</f>
        <v>0</v>
      </c>
    </row>
    <row r="53" spans="1:11" ht="17.100000000000001" customHeight="1" x14ac:dyDescent="0.25">
      <c r="A53" s="20"/>
      <c r="B53" s="21" t="str">
        <f>(IF($C$3=0,"",IF($C$3="A",Tablolar!B$67,IF($C$3="B",Tablolar!B109, IF(OR($C$3="C",$C$3="Ç"),Tablolar!B$152, IF($C$3="D",Tablolar!B$189, IF($C$3="E",Tablolar!B$225, IF($C$3="F",Tablolar!B$261,0))))))))</f>
        <v/>
      </c>
      <c r="C53" s="24">
        <f>(IF($C$3=0,0,VLOOKUP(B53,IF($C$3="A",Tablolar!$B$34:$C$67,IF($C$3="B",Tablolar!$B$70:$C$113, IF(OR($C$3="C",$C$3="Ç"),Tablolar!$B$119:$C$150, IF($C$3="D",Tablolar!$B$155:$C$189, IF($C$3="E",Tablolar!$B$192:$C$223, IF($C$3="F",Tablolar!$B$228:$C$259,Tablolar!$B$264:$C$295)))))),2,FALSE)))*IF(Tablolar!A71=TRUE,1,0)</f>
        <v>0</v>
      </c>
      <c r="D53" s="16"/>
      <c r="E53" s="9" t="str">
        <f>(IF($C$3=0,"",IF($C$3="A",Tablolar!B$67,IF($C$3="B",Tablolar!B109, IF(OR($C$3="C",$C$3="Ç"),Tablolar!B$152, IF($C$3="D",Tablolar!B$189, IF($C$3="E",Tablolar!B$225, IF($C$3="F",Tablolar!B$261,0))))))))</f>
        <v/>
      </c>
      <c r="F53" s="26"/>
      <c r="G53" s="26"/>
      <c r="H53" s="25">
        <f>IF(AND(Tablolar!D71=TRUE,F53=0),IF(Tablolar!D71=TRUE,VLOOKUP(E53,IF($C$3="A",Tablolar!$E$192:$H$223,IF($C$3="B",Tablolar!$E$70:$H$113,IF(OR($C$3="C",$C$3="Ç"),Tablolar!$E$119:$H$150,IF($C$3="D",Tablolar!$E$155:$H$186,IF($C$3="E",Tablolar!$E$192:$H$223,IF($C$3="F",Tablolar!$E$228:$H$259,Tablolar!$E$264:$H$295)))))),4,FALSE),0),(IF(OR($C$3=0,F53=0),0,VLOOKUP(E53,IF($C$3="A",Tablolar!$E$34:$H$66,IF($C$3="B",Tablolar!$E$70:$H$113,IF(OR($C$3="C",$C$3="Ç"),Tablolar!$E$119:$H$150,IF($C$3="D",Tablolar!$E$155:$H$186,IF($C$3="E",Tablolar!$E$192:$H$223,IF($C$3="F",Tablolar!$E$228:$H$259,Tablolar!$E$264:$H$295)))))),IF(G53/F53&lt;0.15,2,IF(AND(G53/F53&gt;=0.15,G53/F53&lt;0.3),3,IF(G53/F53&gt;=0.3,4,0))),FALSE))))</f>
        <v>0</v>
      </c>
      <c r="I53" s="9" t="str">
        <f>(IF($C$3=0,"",IF($C$3="A",Tablolar!B$67,IF($C$3="B",Tablolar!B109, IF(OR($C$3="C",$C$3="Ç"),Tablolar!B$152, IF($C$3="D",Tablolar!B$189, IF($C$3="E",Tablolar!B$225, IF($C$3="F",Tablolar!B$261,0))))))))</f>
        <v/>
      </c>
      <c r="J53" s="23"/>
      <c r="K53" s="17">
        <f>IF(J53="TAM", IF($C$3="A",Tablolar!K69, IF($C$3="B",Tablolar!K109, IF(OR($C$3="C",$C$3="Ç"),Tablolar!K144, IF($C$3="D",Tablolar!K180, IF($C$3="E",Tablolar!K217, IF($C$3="F",Tablolar!K253, Tablolar!K185)))))), IF(J53="LOKAL", IF($C$3="A",Tablolar!L69, IF($C$3="B",Tablolar!L109, IF(OR($C$3="C",$C$3="Ç"),Tablolar!L144, IF($C$3="D",Tablolar!L180, IF($C$3="E",Tablolar!L217, IF($C$3="F",Tablolar!L253, Tablolar!L289)))))),0))</f>
        <v>0</v>
      </c>
    </row>
    <row r="54" spans="1:11" ht="17.100000000000001" customHeight="1" x14ac:dyDescent="0.25">
      <c r="A54" s="37"/>
      <c r="B54" s="38" t="str">
        <f>(IF($C$3=0,"",IF($C$3="A",Tablolar!B$67,IF($C$3="B",Tablolar!B110, IF(OR($C$3="C",$C$3="Ç"),Tablolar!B$152, IF($C$3="D",Tablolar!B$189, IF($C$3="E",Tablolar!B$225, IF($C$3="F",Tablolar!B$261,0))))))))</f>
        <v/>
      </c>
      <c r="C54" s="39">
        <f>(IF($C$3=0,0,VLOOKUP(B54,IF($C$3="A",Tablolar!$B$34:$C$67,IF($C$3="B",Tablolar!$B$70:$C$113, IF(OR($C$3="C",$C$3="Ç"),Tablolar!$B$119:$C$150, IF($C$3="D",Tablolar!$B$155:$C$189, IF($C$3="E",Tablolar!$B$192:$C$223, IF($C$3="F",Tablolar!$B$228:$C$259,Tablolar!$B$264:$C$295)))))),2,FALSE)))*IF(Tablolar!A72=TRUE,1,0)</f>
        <v>0</v>
      </c>
      <c r="D54" s="40"/>
      <c r="E54" s="41" t="str">
        <f>(IF($C$3=0,"",IF($C$3="A",Tablolar!B$67,IF($C$3="B",Tablolar!B110, IF(OR($C$3="C",$C$3="Ç"),Tablolar!B$152, IF($C$3="D",Tablolar!B$189, IF($C$3="E",Tablolar!B$225, IF($C$3="F",Tablolar!B$261,0))))))))</f>
        <v/>
      </c>
      <c r="F54" s="42"/>
      <c r="G54" s="42"/>
      <c r="H54" s="43">
        <f>IF(AND(Tablolar!D72=TRUE,F54=0),IF(Tablolar!D72=TRUE,VLOOKUP(E54,IF($C$3="A",Tablolar!$E$192:$H$223,IF($C$3="B",Tablolar!$E$70:$H$113,IF(OR($C$3="C",$C$3="Ç"),Tablolar!$E$119:$H$150,IF($C$3="D",Tablolar!$E$155:$H$186,IF($C$3="E",Tablolar!$E$192:$H$223,IF($C$3="F",Tablolar!$E$228:$H$259,Tablolar!$E$264:$H$295)))))),4,FALSE),0),(IF(OR($C$3=0,F54=0),0,VLOOKUP(E54,IF($C$3="A",Tablolar!$E$34:$H$66,IF($C$3="B",Tablolar!$E$70:$H$113,IF(OR($C$3="C",$C$3="Ç"),Tablolar!$E$119:$H$150,IF($C$3="D",Tablolar!$E$155:$H$186,IF($C$3="E",Tablolar!$E$192:$H$223,IF($C$3="F",Tablolar!$E$228:$H$259,Tablolar!$E$264:$H$295)))))),IF(G54/F54&lt;0.15,2,IF(AND(G54/F54&gt;=0.15,G54/F54&lt;0.3),3,IF(G54/F54&gt;=0.3,4,0))),FALSE))))</f>
        <v>0</v>
      </c>
      <c r="I54" s="41" t="str">
        <f>(IF($C$3=0,"",IF($C$3="A",Tablolar!B$67,IF($C$3="B",Tablolar!B110, IF(OR($C$3="C",$C$3="Ç"),Tablolar!B$152, IF($C$3="D",Tablolar!B$189, IF($C$3="E",Tablolar!B$225, IF($C$3="F",Tablolar!B$261,0))))))))</f>
        <v/>
      </c>
      <c r="J54" s="44"/>
      <c r="K54" s="45">
        <f>IF(J54="TAM", IF($C$3="A",Tablolar!K70, IF($C$3="B",Tablolar!K110, IF(OR($C$3="C",$C$3="Ç"),Tablolar!K145, IF($C$3="D",Tablolar!K181, IF($C$3="E",Tablolar!K218, IF($C$3="F",Tablolar!K254, Tablolar!K186)))))), IF(J54="LOKAL", IF($C$3="A",Tablolar!L70, IF($C$3="B",Tablolar!L110, IF(OR($C$3="C",$C$3="Ç"),Tablolar!L145, IF($C$3="D",Tablolar!L181, IF($C$3="E",Tablolar!L218, IF($C$3="F",Tablolar!L254, Tablolar!L290)))))),0))</f>
        <v>0</v>
      </c>
    </row>
    <row r="55" spans="1:11" ht="17.100000000000001" customHeight="1" x14ac:dyDescent="0.25">
      <c r="A55" s="20"/>
      <c r="B55" s="21" t="str">
        <f>(IF($C$3=0,"",IF($C$3="A",Tablolar!B$67,IF($C$3="B",Tablolar!B111, IF(OR($C$3="C",$C$3="Ç"),Tablolar!B$152, IF($C$3="D",Tablolar!B$189, IF($C$3="E",Tablolar!B$225, IF($C$3="F",Tablolar!B$261,0))))))))</f>
        <v/>
      </c>
      <c r="C55" s="24">
        <f>(IF($C$3=0,0,VLOOKUP(B55,IF($C$3="A",Tablolar!$B$34:$C$67,IF($C$3="B",Tablolar!$B$70:$C$113, IF(OR($C$3="C",$C$3="Ç"),Tablolar!$B$119:$C$150, IF($C$3="D",Tablolar!$B$155:$C$189, IF($C$3="E",Tablolar!$B$192:$C$223, IF($C$3="F",Tablolar!$B$228:$C$259,Tablolar!$B$264:$C$295)))))),2,FALSE)))*IF(Tablolar!A73=TRUE,1,0)</f>
        <v>0</v>
      </c>
      <c r="D55" s="16"/>
      <c r="E55" s="9" t="str">
        <f>(IF($C$3=0,"",IF($C$3="A",Tablolar!B$67,IF($C$3="B",Tablolar!B111, IF(OR($C$3="C",$C$3="Ç"),Tablolar!B$152, IF($C$3="D",Tablolar!B$189, IF($C$3="E",Tablolar!B$225, IF($C$3="F",Tablolar!B$261,0))))))))</f>
        <v/>
      </c>
      <c r="F55" s="26"/>
      <c r="G55" s="26"/>
      <c r="H55" s="25">
        <f>IF(AND(Tablolar!D73=TRUE,F55=0),IF(Tablolar!D73=TRUE,VLOOKUP(E55,IF($C$3="A",Tablolar!$E$192:$H$223,IF($C$3="B",Tablolar!$E$70:$H$113,IF(OR($C$3="C",$C$3="Ç"),Tablolar!$E$119:$H$150,IF($C$3="D",Tablolar!$E$155:$H$186,IF($C$3="E",Tablolar!$E$192:$H$223,IF($C$3="F",Tablolar!$E$228:$H$259,Tablolar!$E$264:$H$295)))))),4,FALSE),0),(IF(OR($C$3=0,F55=0),0,VLOOKUP(E55,IF($C$3="A",Tablolar!$E$34:$H$66,IF($C$3="B",Tablolar!$E$70:$H$113,IF(OR($C$3="C",$C$3="Ç"),Tablolar!$E$119:$H$150,IF($C$3="D",Tablolar!$E$155:$H$186,IF($C$3="E",Tablolar!$E$192:$H$223,IF($C$3="F",Tablolar!$E$228:$H$259,Tablolar!$E$264:$H$295)))))),IF(G55/F55&lt;0.15,2,IF(AND(G55/F55&gt;=0.15,G55/F55&lt;0.3),3,IF(G55/F55&gt;=0.3,4,0))),FALSE))))</f>
        <v>0</v>
      </c>
      <c r="I55" s="9" t="str">
        <f>(IF($C$3=0,"",IF($C$3="A",Tablolar!B$67,IF($C$3="B",Tablolar!B111, IF(OR($C$3="C",$C$3="Ç"),Tablolar!B$152, IF($C$3="D",Tablolar!B$189, IF($C$3="E",Tablolar!B$225, IF($C$3="F",Tablolar!B$261,0))))))))</f>
        <v/>
      </c>
      <c r="J55" s="23"/>
      <c r="K55" s="17">
        <f>IF(J55="TAM", IF($C$3="A",Tablolar!K71, IF($C$3="B",Tablolar!K111, IF(OR($C$3="C",$C$3="Ç"),Tablolar!K146, IF($C$3="D",Tablolar!K182, IF($C$3="E",Tablolar!K219, IF($C$3="F",Tablolar!K255, Tablolar!K189)))))), IF(J55="LOKAL", IF($C$3="A",Tablolar!L71, IF($C$3="B",Tablolar!L111, IF(OR($C$3="C",$C$3="Ç"),Tablolar!L146, IF($C$3="D",Tablolar!L182, IF($C$3="E",Tablolar!L219, IF($C$3="F",Tablolar!L255, Tablolar!L291)))))),0))</f>
        <v>0</v>
      </c>
    </row>
    <row r="56" spans="1:11" ht="17.100000000000001" customHeight="1" x14ac:dyDescent="0.25">
      <c r="A56" s="37"/>
      <c r="B56" s="38" t="str">
        <f>(IF($C$3=0,"",IF($C$3="A",Tablolar!B$67,IF($C$3="B",Tablolar!B112, IF(OR($C$3="C",$C$3="Ç"),Tablolar!B$152, IF($C$3="D",Tablolar!B$189, IF($C$3="E",Tablolar!B232, IF($C$3="F",Tablolar!B268,0))))))))</f>
        <v/>
      </c>
      <c r="C56" s="39">
        <f>(IF($C$3=0,0,VLOOKUP(B56,IF($C$3="A",Tablolar!$B$34:$C$67,IF($C$3="B",Tablolar!$B$70:$C$113, IF(OR($C$3="C",$C$3="Ç"),Tablolar!$B$119:$C$150, IF($C$3="D",Tablolar!$B$155:$C$189, IF($C$3="E",Tablolar!$B$192:$C$223, IF($C$3="F",Tablolar!$B$228:$C$259,Tablolar!$B$264:$C$295)))))),2,FALSE)))*IF(Tablolar!A74=TRUE,1,0)</f>
        <v>0</v>
      </c>
      <c r="D56" s="40"/>
      <c r="E56" s="41" t="str">
        <f>(IF($C$3=0,"",IF($C$3="A",Tablolar!B$67,IF($C$3="B",Tablolar!B112, IF(OR($C$3="C",$C$3="Ç"),Tablolar!B$152, IF($C$3="D",Tablolar!B$189, IF($C$3="E",Tablolar!B232, IF($C$3="F",Tablolar!B268,0))))))))</f>
        <v/>
      </c>
      <c r="F56" s="42"/>
      <c r="G56" s="42"/>
      <c r="H56" s="43">
        <f>IF(AND(Tablolar!D74=TRUE,F56=0),IF(Tablolar!D74=TRUE,VLOOKUP(E56,IF($C$3="A",Tablolar!$E$192:$H$223,IF($C$3="B",Tablolar!$E$70:$H$113,IF(OR($C$3="C",$C$3="Ç"),Tablolar!$E$119:$H$150,IF($C$3="D",Tablolar!$E$155:$H$186,IF($C$3="E",Tablolar!$E$192:$H$223,IF($C$3="F",Tablolar!$E$228:$H$259,Tablolar!$E$264:$H$295)))))),4,FALSE),0),(IF(OR($C$3=0,F56=0),0,VLOOKUP(E56,IF($C$3="A",Tablolar!$E$34:$H$66,IF($C$3="B",Tablolar!$E$70:$H$113,IF(OR($C$3="C",$C$3="Ç"),Tablolar!$E$119:$H$150,IF($C$3="D",Tablolar!$E$155:$H$186,IF($C$3="E",Tablolar!$E$192:$H$223,IF($C$3="F",Tablolar!$E$228:$H$259,Tablolar!$E$264:$H$295)))))),IF(G56/F56&lt;0.15,2,IF(AND(G56/F56&gt;=0.15,G56/F56&lt;0.3),3,IF(G56/F56&gt;=0.3,4,0))),FALSE))))</f>
        <v>0</v>
      </c>
      <c r="I56" s="41" t="str">
        <f>(IF($C$3=0,"",IF($C$3="A",Tablolar!B$67,IF($C$3="B",Tablolar!B112, IF(OR($C$3="C",$C$3="Ç"),Tablolar!B$152, IF($C$3="D",Tablolar!B$189, IF($C$3="E",Tablolar!B232, IF($C$3="F",Tablolar!B268,0))))))))</f>
        <v/>
      </c>
      <c r="J56" s="44"/>
      <c r="K56" s="45">
        <f>IF(J56="TAM", IF($C$3="A",Tablolar!K72, IF($C$3="B",Tablolar!K112, IF(OR($C$3="C",$C$3="Ç"),Tablolar!K147, IF($C$3="D",Tablolar!K183, IF($C$3="E",Tablolar!K220, IF($C$3="F",Tablolar!K256, Tablolar!K190)))))), IF(J56="LOKAL", IF($C$3="A",Tablolar!L72, IF($C$3="B",Tablolar!L112, IF(OR($C$3="C",$C$3="Ç"),Tablolar!L147, IF($C$3="D",Tablolar!L183, IF($C$3="E",Tablolar!L220, IF($C$3="F",Tablolar!L256, Tablolar!L292)))))),0))</f>
        <v>0</v>
      </c>
    </row>
    <row r="57" spans="1:11" ht="17.100000000000001" customHeight="1" x14ac:dyDescent="0.25">
      <c r="A57" s="20"/>
      <c r="B57" s="21" t="str">
        <f>(IF($C$3=0,"",IF($C$3="A",Tablolar!B$67,IF($C$3="B",Tablolar!B113, IF(OR($C$3="C",$C$3="Ç"),Tablolar!B$152, IF($C$3="D",Tablolar!B$189, IF($C$3="E",Tablolar!B233, IF($C$3="F",Tablolar!B269,0))))))))</f>
        <v/>
      </c>
      <c r="C57" s="24">
        <f>(IF($C$3=0,0,VLOOKUP(B57,IF($C$3="A",Tablolar!$B$34:$C$67,IF($C$3="B",Tablolar!$B$70:$C$113, IF(OR($C$3="C",$C$3="Ç"),Tablolar!$B$119:$C$150, IF($C$3="D",Tablolar!$B$155:$C$189, IF($C$3="E",Tablolar!$B$192:$C$223, IF($C$3="F",Tablolar!$B$228:$C$259,Tablolar!$B$264:$C$295)))))),2,FALSE)))*IF(Tablolar!A75=TRUE,1,0)</f>
        <v>0</v>
      </c>
      <c r="D57" s="16"/>
      <c r="E57" s="9" t="str">
        <f>(IF($C$3=0,"",IF($C$3="A",Tablolar!B$67,IF($C$3="B",Tablolar!B113, IF(OR($C$3="C",$C$3="Ç"),Tablolar!B$152, IF($C$3="D",Tablolar!B$189, IF($C$3="E",Tablolar!B233, IF($C$3="F",Tablolar!B269,0))))))))</f>
        <v/>
      </c>
      <c r="F57" s="26"/>
      <c r="G57" s="26"/>
      <c r="H57" s="25">
        <f>IF(AND(Tablolar!D75=TRUE,F57=0),IF(Tablolar!D75=TRUE,VLOOKUP(E57,IF($C$3="A",Tablolar!$E$192:$H$223,IF($C$3="B",Tablolar!$E$70:$H$113,IF(OR($C$3="C",$C$3="Ç"),Tablolar!$E$119:$H$150,IF($C$3="D",Tablolar!$E$155:$H$186,IF($C$3="E",Tablolar!$E$192:$H$223,IF($C$3="F",Tablolar!$E$228:$H$259,Tablolar!$E$264:$H$295)))))),4,FALSE),0),(IF(OR($C$3=0,F57=0),0,VLOOKUP(E57,IF($C$3="A",Tablolar!$E$34:$H$66,IF($C$3="B",Tablolar!$E$70:$H$113,IF(OR($C$3="C",$C$3="Ç"),Tablolar!$E$119:$H$150,IF($C$3="D",Tablolar!$E$155:$H$186,IF($C$3="E",Tablolar!$E$192:$H$223,IF($C$3="F",Tablolar!$E$228:$H$259,Tablolar!$E$264:$H$295)))))),IF(G57/F57&lt;0.15,2,IF(AND(G57/F57&gt;=0.15,G57/F57&lt;0.3),3,IF(G57/F57&gt;=0.3,4,0))),FALSE))))</f>
        <v>0</v>
      </c>
      <c r="I57" s="9" t="str">
        <f>(IF($C$3=0,"",IF($C$3="A",Tablolar!B$67,IF($C$3="B",Tablolar!B113, IF(OR($C$3="C",$C$3="Ç"),Tablolar!B$152, IF($C$3="D",Tablolar!B$189, IF($C$3="E",Tablolar!B233, IF($C$3="F",Tablolar!B269,0))))))))</f>
        <v/>
      </c>
      <c r="J57" s="23"/>
      <c r="K57" s="17">
        <f>IF(J57="TAM", IF($C$3="A",Tablolar!K73, IF($C$3="B",Tablolar!K113, IF(OR($C$3="C",$C$3="Ç"),Tablolar!K148, IF($C$3="D",Tablolar!K184, IF($C$3="E",Tablolar!K221, IF($C$3="F",Tablolar!K257, Tablolar!K191)))))), IF(J57="LOKAL", IF($C$3="A",Tablolar!L73, IF($C$3="B",Tablolar!L113, IF(OR($C$3="C",$C$3="Ç"),Tablolar!L148, IF($C$3="D",Tablolar!L184, IF($C$3="E",Tablolar!L221, IF($C$3="F",Tablolar!L257, Tablolar!L293)))))),0))</f>
        <v>0</v>
      </c>
    </row>
    <row r="58" spans="1:11" ht="17.100000000000001" customHeight="1" x14ac:dyDescent="0.25">
      <c r="A58" s="37"/>
      <c r="B58" s="38" t="str">
        <f>(IF($C$3=0,"",IF($C$3="A",Tablolar!B$67,IF($C$3="B",Tablolar!B114, IF(OR($C$3="C",$C$3="Ç"),Tablolar!B$152, IF($C$3="D",Tablolar!B$189, IF($C$3="E",Tablolar!B234, IF($C$3="F",Tablolar!B270,0))))))))</f>
        <v/>
      </c>
      <c r="C58" s="39">
        <f>(IF($C$3=0,0,VLOOKUP(B58,IF($C$3="A",Tablolar!$B$34:$C$67,IF($C$3="B",Tablolar!$B$70:$C$115, IF(OR($C$3="C",$C$3="Ç"),Tablolar!$B$119:$C$150, IF($C$3="D",Tablolar!$B$155:$C$189, IF($C$3="E",Tablolar!$B$192:$C$223, IF($C$3="F",Tablolar!$B$228:$C$259,Tablolar!$B$264:$C$295)))))),2,FALSE)))*IF(Tablolar!A76=TRUE,1,0)</f>
        <v>0</v>
      </c>
      <c r="D58" s="40"/>
      <c r="E58" s="41" t="str">
        <f>(IF($C$3=0,"",IF($C$3="A",Tablolar!B$67,IF($C$3="B",Tablolar!B114, IF(OR($C$3="C",$C$3="Ç"),Tablolar!B$152, IF($C$3="D",Tablolar!B$189, IF($C$3="E",Tablolar!B234, IF($C$3="F",Tablolar!B270,0))))))))</f>
        <v/>
      </c>
      <c r="F58" s="42"/>
      <c r="G58" s="42"/>
      <c r="H58" s="43">
        <f>IF(AND(Tablolar!D76=TRUE,F58=0),IF(Tablolar!D76=TRUE,VLOOKUP(E58,IF($C$3="A",Tablolar!$E$192:$H$223,IF($C$3="B",Tablolar!$E$70:$H$115,IF(OR($C$3="C",$C$3="Ç"),Tablolar!$E$119:$H$150,IF($C$3="D",Tablolar!$E$155:$H$186,IF($C$3="E",Tablolar!$E$192:$H$223,IF($C$3="F",Tablolar!$E$228:$H$259,Tablolar!$E$264:$H$295)))))),4,FALSE),0),(IF(OR($C$3=0,F58=0),0,VLOOKUP(E58,IF($C$3="A",Tablolar!$E$34:$H$66,IF($C$3="B",Tablolar!$E$70:$H$113,IF(OR($C$3="C",$C$3="Ç"),Tablolar!$E$119:$H$150,IF($C$3="D",Tablolar!$E$155:$H$186,IF($C$3="E",Tablolar!$E$192:$H$223,IF($C$3="F",Tablolar!$E$228:$H$259,Tablolar!$E$264:$H$295)))))),IF(G58/F58&lt;0.15,2,IF(AND(G58/F58&gt;=0.15,G58/F58&lt;0.3),3,IF(G58/F58&gt;=0.3,4,0))),FALSE))))</f>
        <v>0</v>
      </c>
      <c r="I58" s="41" t="str">
        <f>(IF($C$3=0,"",IF($C$3="A",Tablolar!B$67,IF($C$3="B",Tablolar!B114, IF(OR($C$3="C",$C$3="Ç"),Tablolar!B$152, IF($C$3="D",Tablolar!B$189, IF($C$3="E",Tablolar!B234, IF($C$3="F",Tablolar!B270,0))))))))</f>
        <v/>
      </c>
      <c r="J58" s="44"/>
      <c r="K58" s="45">
        <f>IF(J58="TAM", IF($C$3="A",Tablolar!K74, IF($C$3="B",Tablolar!K114, IF(OR($C$3="C",$C$3="Ç"),Tablolar!K149, IF($C$3="D",Tablolar!K185, IF($C$3="E",Tablolar!K222, IF($C$3="F",Tablolar!K258, Tablolar!K192)))))), IF(J58="LOKAL", IF($C$3="A",Tablolar!L74, IF($C$3="B",Tablolar!L114, IF(OR($C$3="C",$C$3="Ç"),Tablolar!L149, IF($C$3="D",Tablolar!L185, IF($C$3="E",Tablolar!L222, IF($C$3="F",Tablolar!L258, Tablolar!L294)))))),0))</f>
        <v>0</v>
      </c>
    </row>
    <row r="59" spans="1:11" ht="17.100000000000001" customHeight="1" x14ac:dyDescent="0.25">
      <c r="A59" s="20"/>
      <c r="B59" s="21" t="str">
        <f>(IF($C$3=0,"",IF($C$3="A",Tablolar!B$67,IF($C$3="B",Tablolar!B115, IF(OR($C$3="C",$C$3="Ç"),Tablolar!B$152, IF($C$3="D",Tablolar!B189, IF($C$3="E",Tablolar!B235, IF($C$3="F",Tablolar!B271,0))))))))</f>
        <v/>
      </c>
      <c r="C59" s="24">
        <f>(IF($C$3=0,0,VLOOKUP(B59,IF($C$3="A",Tablolar!$B$34:$C$67,IF($C$3="B",Tablolar!$B$70:$C$115, IF(OR($C$3="C",$C$3="Ç"),Tablolar!$B$119:$C$150, IF($C$3="D",Tablolar!$B$155:$C$189, IF($C$3="E",Tablolar!$B$192:$C$223, IF($C$3="F",Tablolar!$B$228:$C$259,Tablolar!$B$264:$C$295)))))),2,FALSE)))*IF(Tablolar!A77=TRUE,1,0)</f>
        <v>0</v>
      </c>
      <c r="D59" s="16"/>
      <c r="E59" s="9" t="str">
        <f>(IF($C$3=0,"",IF($C$3="A",Tablolar!B$67,IF($C$3="B",Tablolar!B115, IF(OR($C$3="C",$C$3="Ç"),Tablolar!B$152, IF($C$3="D",Tablolar!B189, IF($C$3="E",Tablolar!B235, IF($C$3="F",Tablolar!B271,0))))))))</f>
        <v/>
      </c>
      <c r="F59" s="26"/>
      <c r="G59" s="26"/>
      <c r="H59" s="25">
        <f>IF(AND(Tablolar!D77=TRUE,F59=0),IF(Tablolar!D77=TRUE,VLOOKUP(E59,IF($C$3="A",Tablolar!$E$192:$H$223,IF($C$3="B",Tablolar!$E$70:$H$115,IF(OR($C$3="C",$C$3="Ç"),Tablolar!$E$119:$H$150,IF($C$3="D",Tablolar!$E$155:$H$186,IF($C$3="E",Tablolar!$E$192:$H$223,IF($C$3="F",Tablolar!$E$228:$H$259,Tablolar!$E$264:$H$295)))))),4,FALSE),0),(IF(OR($C$3=0,F59=0),0,VLOOKUP(E59,IF($C$3="A",Tablolar!$E$34:$H$66,IF($C$3="B",Tablolar!$E$70:$H$113,IF(OR($C$3="C",$C$3="Ç"),Tablolar!$E$119:$H$150,IF($C$3="D",Tablolar!$E$155:$H$186,IF($C$3="E",Tablolar!$E$192:$H$223,IF($C$3="F",Tablolar!$E$228:$H$259,Tablolar!$E$264:$H$295)))))),IF(G59/F59&lt;0.15,2,IF(AND(G59/F59&gt;=0.15,G59/F59&lt;0.3),3,IF(G59/F59&gt;=0.3,4,0))),FALSE))))</f>
        <v>0</v>
      </c>
      <c r="I59" s="9" t="str">
        <f>(IF($C$3=0,"",IF($C$3="A",Tablolar!B$67,IF($C$3="B",Tablolar!B115, IF(OR($C$3="C",$C$3="Ç"),Tablolar!B$152, IF($C$3="D",Tablolar!B189, IF($C$3="E",Tablolar!B235, IF($C$3="F",Tablolar!B271,0))))))))</f>
        <v/>
      </c>
      <c r="J59" s="23"/>
      <c r="K59" s="17">
        <f>IF(J59="TAM", IF($C$3="A",Tablolar!K75, IF($C$3="B",Tablolar!K115, IF(OR($C$3="C",$C$3="Ç"),Tablolar!K150, IF($C$3="D",Tablolar!K186, IF($C$3="E",Tablolar!K223, IF($C$3="F",Tablolar!K259, Tablolar!K193)))))), IF(J59="LOKAL", IF($C$3="A",Tablolar!L75, IF($C$3="B",Tablolar!L115, IF(OR($C$3="C",$C$3="Ç"),Tablolar!L150, IF($C$3="D",Tablolar!L186, IF($C$3="E",Tablolar!L223, IF($C$3="F",Tablolar!L259, Tablolar!L295)))))),0))</f>
        <v>0</v>
      </c>
    </row>
    <row r="60" spans="1:11" ht="17.100000000000001" customHeight="1" x14ac:dyDescent="0.25">
      <c r="A60" s="37"/>
      <c r="B60" s="38" t="str">
        <f>(IF($C$3=0,"",IF($C$3="A",Tablolar!B$67,IF($C$3="B",Tablolar!B116, IF(OR($C$3="C",$C$3="Ç"),Tablolar!B$152, IF($C$3="D",Tablolar!B199, IF($C$3="E",Tablolar!B236, IF($C$3="F",Tablolar!B272,0))))))))</f>
        <v/>
      </c>
      <c r="C60" s="39">
        <f>(IF($C$3=0,0,VLOOKUP(B60,IF($C$3="A",Tablolar!$B$34:$C$67,IF($C$3="B",Tablolar!$B$70:$C$116, IF(OR($C$3="C",$C$3="Ç"),Tablolar!$B$119:$C$150, IF($C$3="D",Tablolar!$B$155:$C$189, IF($C$3="E",Tablolar!$B$192:$C$223, IF($C$3="F",Tablolar!$B$228:$C$259,Tablolar!$B$264:$C$295)))))),2,FALSE)))*IF(Tablolar!A78=TRUE,1,0)</f>
        <v>0</v>
      </c>
      <c r="D60" s="40"/>
      <c r="E60" s="41" t="str">
        <f>(IF($C$3=0,"",IF($C$3="A",Tablolar!B$67,IF($C$3="B",Tablolar!B116, IF(OR($C$3="C",$C$3="Ç"),Tablolar!B$152, IF($C$3="D",Tablolar!B199, IF($C$3="E",Tablolar!B236, IF($C$3="F",Tablolar!B272,0))))))))</f>
        <v/>
      </c>
      <c r="F60" s="42"/>
      <c r="G60" s="42"/>
      <c r="H60" s="43">
        <f>IF(AND(Tablolar!D78=TRUE,F60=0),IF(Tablolar!D78=TRUE,VLOOKUP(E60,IF($C$3="A",Tablolar!$E$192:$H$223,IF($C$3="B",Tablolar!$E$70:$H$113,IF(OR($C$3="C",$C$3="Ç"),Tablolar!$E$119:$H$150,IF($C$3="D",Tablolar!$E$155:$H$186,IF($C$3="E",Tablolar!$E$192:$H$223,IF($C$3="F",Tablolar!$E$228:$H$259,Tablolar!$E$264:$H$295)))))),4,FALSE),0),(IF(OR($C$3=0,F60=0),0,VLOOKUP(E60,IF($C$3="A",Tablolar!$E$34:$H$66,IF($C$3="B",Tablolar!$E$70:$H$113,IF(OR($C$3="C",$C$3="Ç"),Tablolar!$E$119:$H$150,IF($C$3="D",Tablolar!$E$155:$H$186,IF($C$3="E",Tablolar!$E$192:$H$223,IF($C$3="F",Tablolar!$E$228:$H$259,Tablolar!$E$264:$H$295)))))),IF(G60/F60&lt;0.15,2,IF(AND(G60/F60&gt;=0.15,G60/F60&lt;0.3),3,IF(G60/F60&gt;=0.3,4,0))),FALSE))))</f>
        <v>0</v>
      </c>
      <c r="I60" s="41" t="str">
        <f>(IF($C$3=0,"",IF($C$3="A",Tablolar!B$67,IF($C$3="B",Tablolar!B116, IF(OR($C$3="C",$C$3="Ç"),Tablolar!B$152, IF($C$3="D",Tablolar!B199, IF($C$3="E",Tablolar!B236, IF($C$3="F",Tablolar!B272,0))))))))</f>
        <v/>
      </c>
      <c r="J60" s="44"/>
      <c r="K60" s="45">
        <f>IF(J60="TAM", IF($C$3="A",Tablolar!K76, IF($C$3="B",Tablolar!K114, IF(OR($C$3="C",$C$3="Ç"),Tablolar!K152, IF($C$3="D",Tablolar!K189, IF($C$3="E",Tablolar!K225, IF($C$3="F",Tablolar!K261, Tablolar!K194)))))), IF(J60="LOKAL", IF($C$3="A",Tablolar!L76, IF($C$3="B",Tablolar!L114, IF(OR($C$3="C",$C$3="Ç"),Tablolar!L152, IF($C$3="D",Tablolar!L189, IF($C$3="E",Tablolar!L225, IF($C$3="F",Tablolar!L261, Tablolar!L296)))))),0))</f>
        <v>0</v>
      </c>
    </row>
    <row r="61" spans="1:11" ht="17.100000000000001" customHeight="1" x14ac:dyDescent="0.25">
      <c r="A61" s="20"/>
      <c r="B61" s="21" t="str">
        <f>(IF($C$3=0,"",IF($C$3="A",Tablolar!B$67,IF($C$3="B",Tablolar!B116, IF(OR($C$3="C",$C$3="Ç"),Tablolar!B$152, IF($C$3="D",Tablolar!B200, IF($C$3="E",Tablolar!B237, IF($C$3="F",Tablolar!B273,0))))))))</f>
        <v/>
      </c>
      <c r="C61" s="24">
        <f>(IF($C$3=0,0,VLOOKUP(B61,IF($C$3="A",Tablolar!$B$34:$C$67,IF($C$3="B",Tablolar!$B$70:$C$116, IF(OR($C$3="C",$C$3="Ç"),Tablolar!$B$119:$C$150, IF($C$3="D",Tablolar!$B$155:$C$189, IF($C$3="E",Tablolar!$B$192:$C$223, IF($C$3="F",Tablolar!$B$228:$C$259,Tablolar!$B$264:$C$295)))))),2,FALSE)))*IF(Tablolar!A79=TRUE,1,0)</f>
        <v>0</v>
      </c>
      <c r="D61" s="16"/>
      <c r="E61" s="9" t="str">
        <f>(IF($C$3=0,"",IF($C$3="A",Tablolar!B$67,IF($C$3="B",Tablolar!B116, IF(OR($C$3="C",$C$3="Ç"),Tablolar!B$152, IF($C$3="D",Tablolar!B200, IF($C$3="E",Tablolar!B237, IF($C$3="F",Tablolar!B273,0))))))))</f>
        <v/>
      </c>
      <c r="F61" s="26"/>
      <c r="G61" s="26"/>
      <c r="H61" s="25">
        <f>IF(AND(Tablolar!D79=TRUE,F61=0),IF(Tablolar!D67=TRUE,VLOOKUP(E61,IF($C$3="A",Tablolar!$E$192:$H$223,IF($C$3="B",Tablolar!$E$70:$H$113,IF(OR($C$3="C",$C$3="Ç"),Tablolar!$E$119:$H$150,IF($C$3="D",Tablolar!$E$155:$H$186,IF($C$3="E",Tablolar!$E$192:$H$223,IF($C$3="F",Tablolar!$E$228:$H$259,Tablolar!$E$264:$H$295)))))),4,FALSE),0),(IF(OR($C$3=0,F61=0),0,VLOOKUP(E61,IF($C$3="A",Tablolar!$E$34:$H$66,IF($C$3="B",Tablolar!$E$70:$H$113,IF(OR($C$3="C",$C$3="Ç"),Tablolar!$E$119:$H$150,IF($C$3="D",Tablolar!$E$155:$H$186,IF($C$3="E",Tablolar!$E$192:$H$223,IF($C$3="F",Tablolar!$E$228:$H$259,Tablolar!$E$264:$H$295)))))),IF(G61/F61&lt;0.15,2,IF(AND(G61/F61&gt;=0.15,G61/F61&lt;0.3),3,IF(G61/F61&gt;=0.3,4,0))),FALSE))))</f>
        <v>0</v>
      </c>
      <c r="I61" s="9" t="str">
        <f>(IF($C$3=0,"",IF($C$3="A",Tablolar!B$67,IF($C$3="B",Tablolar!B116, IF(OR($C$3="C",$C$3="Ç"),Tablolar!B$152, IF($C$3="D",Tablolar!B200, IF($C$3="E",Tablolar!B237, IF($C$3="F",Tablolar!B273,0))))))))</f>
        <v/>
      </c>
      <c r="J61" s="23"/>
      <c r="K61" s="17">
        <f>IF(J61="TAM", IF($C$3="A",Tablolar!K77, IF($C$3="B",Tablolar!K115, IF(OR($C$3="C",$C$3="Ç"),Tablolar!K153, IF($C$3="D",Tablolar!K190, IF($C$3="E",Tablolar!K226, IF($C$3="F",Tablolar!K262, Tablolar!K195)))))), IF(J61="LOKAL", IF($C$3="A",Tablolar!L77, IF($C$3="B",Tablolar!L115, IF(OR($C$3="C",$C$3="Ç"),Tablolar!L153, IF($C$3="D",Tablolar!L190, IF($C$3="E",Tablolar!L226, IF($C$3="F",Tablolar!L262, Tablolar!L297)))))),0))</f>
        <v>0</v>
      </c>
    </row>
    <row r="62" spans="1:11" ht="17.100000000000001" customHeight="1" x14ac:dyDescent="0.25">
      <c r="A62" s="41"/>
      <c r="B62" s="38"/>
      <c r="C62" s="41"/>
      <c r="D62" s="41"/>
      <c r="E62" s="41"/>
      <c r="F62" s="41"/>
      <c r="G62" s="41"/>
      <c r="H62" s="41"/>
      <c r="I62" s="41"/>
      <c r="J62" s="41"/>
      <c r="K62" s="45"/>
    </row>
    <row r="63" spans="1:11" ht="17.100000000000001" customHeight="1" x14ac:dyDescent="0.25">
      <c r="A63" s="9"/>
      <c r="B63" s="9"/>
      <c r="C63" s="9"/>
      <c r="D63" s="9"/>
      <c r="E63" s="9"/>
      <c r="F63" s="9"/>
      <c r="G63" s="9"/>
      <c r="H63" s="9"/>
      <c r="I63" s="9"/>
      <c r="J63" s="9"/>
      <c r="K63" s="9"/>
    </row>
    <row r="64" spans="1:11" ht="17.100000000000001" customHeight="1" x14ac:dyDescent="0.25">
      <c r="A64" s="41"/>
      <c r="B64" s="47" t="s">
        <v>121</v>
      </c>
      <c r="C64" s="43">
        <f>SUM(C16:C61)-IF(AND($C$3="C",(YEAR(C13)-C11)&gt;4,$C$29&gt;0,$B$29="KABİN (TRİMSİZ)"),$C$29,0)</f>
        <v>0</v>
      </c>
      <c r="D64" s="41"/>
      <c r="E64" s="47" t="s">
        <v>121</v>
      </c>
      <c r="F64" s="48"/>
      <c r="G64" s="48"/>
      <c r="H64" s="43">
        <f>SUM(H16:H61)</f>
        <v>0</v>
      </c>
      <c r="I64" s="47" t="s">
        <v>121</v>
      </c>
      <c r="J64" s="41"/>
      <c r="K64" s="43">
        <f>SUM(K16:K61)-IF(AND($C$3="C",(YEAR(C13)-C11)&gt;4,$K$29&gt;0,$B$29="KABİN (TRİMSİZ)"),$K$29,0)</f>
        <v>0</v>
      </c>
    </row>
    <row r="65" spans="1:11" ht="17.100000000000001" customHeight="1" x14ac:dyDescent="0.25">
      <c r="A65" s="9"/>
      <c r="B65" s="9"/>
      <c r="C65" s="9"/>
      <c r="D65" s="9"/>
      <c r="E65" s="9"/>
      <c r="F65" s="9"/>
      <c r="G65" s="9"/>
      <c r="H65" s="9"/>
      <c r="I65" s="9"/>
      <c r="J65" s="9"/>
      <c r="K65" s="9"/>
    </row>
    <row r="66" spans="1:11" ht="17.100000000000001" customHeight="1" x14ac:dyDescent="0.25">
      <c r="A66" s="9"/>
      <c r="B66" s="9"/>
      <c r="C66" s="9"/>
      <c r="D66" s="9"/>
      <c r="E66" s="9"/>
      <c r="F66" s="9"/>
      <c r="G66" s="9"/>
      <c r="H66" s="9"/>
      <c r="I66" s="9"/>
      <c r="J66" s="9"/>
      <c r="K66" s="9"/>
    </row>
    <row r="67" spans="1:11" ht="17.100000000000001" customHeight="1" x14ac:dyDescent="0.25">
      <c r="A67" s="9"/>
      <c r="B67" s="9"/>
      <c r="C67" s="9"/>
      <c r="D67" s="9"/>
      <c r="E67" s="9"/>
      <c r="F67" s="9"/>
      <c r="G67" s="9"/>
      <c r="H67" s="9"/>
      <c r="I67" s="9"/>
      <c r="J67" s="9"/>
      <c r="K67" s="9"/>
    </row>
    <row r="68" spans="1:11" ht="17.100000000000001" customHeight="1" x14ac:dyDescent="0.25">
      <c r="A68" s="9"/>
      <c r="B68" s="66"/>
      <c r="C68" s="9"/>
      <c r="D68" s="9"/>
      <c r="E68" s="9"/>
      <c r="F68" s="9"/>
      <c r="G68" s="9"/>
      <c r="H68" s="9"/>
      <c r="I68" s="9"/>
      <c r="J68" s="9"/>
      <c r="K68" s="9"/>
    </row>
    <row r="69" spans="1:11" ht="17.100000000000001" customHeight="1" x14ac:dyDescent="0.25">
      <c r="A69" s="9"/>
      <c r="B69" s="66"/>
      <c r="C69" s="9"/>
      <c r="D69" s="9"/>
      <c r="E69" s="9"/>
      <c r="F69" s="9"/>
      <c r="G69" s="9"/>
      <c r="H69" s="9"/>
      <c r="I69" s="9"/>
      <c r="J69" s="9"/>
      <c r="K69" s="9"/>
    </row>
    <row r="70" spans="1:11" ht="17.100000000000001" customHeight="1" x14ac:dyDescent="0.25">
      <c r="A70" s="9"/>
      <c r="B70" s="66"/>
      <c r="C70" s="9"/>
      <c r="D70" s="9"/>
      <c r="E70" s="9"/>
      <c r="F70" s="9"/>
      <c r="G70" s="9"/>
      <c r="H70" s="9"/>
      <c r="I70" s="67"/>
      <c r="J70" s="9"/>
      <c r="K70" s="9"/>
    </row>
    <row r="71" spans="1:11" ht="17.100000000000001" customHeight="1" x14ac:dyDescent="0.25">
      <c r="A71" s="9"/>
      <c r="B71" s="66"/>
      <c r="C71" s="9"/>
      <c r="D71" s="9"/>
      <c r="E71" s="9"/>
      <c r="F71" s="9"/>
      <c r="G71" s="9"/>
      <c r="H71" s="9"/>
      <c r="I71" s="67"/>
      <c r="J71" s="9"/>
      <c r="K71" s="9"/>
    </row>
    <row r="72" spans="1:11" ht="17.100000000000001" customHeight="1" x14ac:dyDescent="0.25">
      <c r="A72" s="9"/>
      <c r="B72" s="66"/>
      <c r="C72" s="9"/>
      <c r="D72" s="9"/>
      <c r="E72" s="15"/>
      <c r="F72" s="9"/>
      <c r="G72" s="9"/>
      <c r="H72" s="9"/>
      <c r="I72" s="67"/>
      <c r="J72" s="9"/>
      <c r="K72" s="9"/>
    </row>
    <row r="73" spans="1:11" ht="17.100000000000001" customHeight="1" x14ac:dyDescent="0.25">
      <c r="A73" s="9"/>
      <c r="B73" s="66"/>
      <c r="C73" s="9"/>
      <c r="D73" s="9"/>
      <c r="E73" s="9"/>
      <c r="F73" s="9"/>
      <c r="G73" s="9"/>
      <c r="H73" s="9"/>
      <c r="I73" s="67"/>
      <c r="J73" s="9"/>
      <c r="K73" s="9"/>
    </row>
    <row r="74" spans="1:11" ht="17.100000000000001" customHeight="1" x14ac:dyDescent="0.25">
      <c r="A74" s="9"/>
      <c r="B74" s="9"/>
      <c r="C74" s="9"/>
      <c r="D74" s="9"/>
      <c r="E74" s="9"/>
      <c r="F74" s="9"/>
      <c r="G74" s="9"/>
      <c r="H74" s="9"/>
      <c r="I74" s="67"/>
      <c r="J74" s="9"/>
      <c r="K74" s="9"/>
    </row>
    <row r="75" spans="1:11" ht="17.100000000000001" customHeight="1" x14ac:dyDescent="0.25">
      <c r="A75" s="9"/>
      <c r="B75" s="9"/>
      <c r="C75" s="9"/>
      <c r="D75" s="9"/>
      <c r="E75" s="9"/>
      <c r="F75" s="9"/>
      <c r="G75" s="9"/>
      <c r="H75" s="9"/>
      <c r="I75" s="67"/>
      <c r="J75" s="9"/>
      <c r="K75" s="9"/>
    </row>
    <row r="76" spans="1:11" ht="17.100000000000001" customHeight="1" x14ac:dyDescent="0.25">
      <c r="A76" s="9"/>
      <c r="B76" s="9"/>
      <c r="C76" s="9"/>
      <c r="D76" s="9"/>
      <c r="E76" s="15"/>
      <c r="F76" s="9"/>
      <c r="G76" s="9"/>
      <c r="H76" s="9"/>
      <c r="I76" s="67"/>
      <c r="J76" s="9"/>
      <c r="K76" s="9"/>
    </row>
    <row r="77" spans="1:11" ht="17.100000000000001" customHeight="1" x14ac:dyDescent="0.25">
      <c r="A77" s="9"/>
      <c r="B77" s="9"/>
      <c r="C77" s="9"/>
      <c r="D77" s="9"/>
      <c r="E77" s="9"/>
      <c r="F77" s="9"/>
      <c r="G77" s="9"/>
      <c r="H77" s="9"/>
      <c r="I77" s="9"/>
      <c r="J77" s="9"/>
      <c r="K77" s="9"/>
    </row>
    <row r="78" spans="1:11" ht="17.100000000000001" customHeight="1" x14ac:dyDescent="0.25">
      <c r="A78" s="9"/>
      <c r="B78" s="9"/>
      <c r="C78" s="9"/>
      <c r="D78" s="9"/>
      <c r="E78" s="9"/>
      <c r="F78" s="9"/>
      <c r="G78" s="9"/>
      <c r="H78" s="9"/>
      <c r="I78" s="9"/>
      <c r="J78" s="9"/>
      <c r="K78" s="9"/>
    </row>
    <row r="79" spans="1:11" ht="17.100000000000001" customHeight="1" x14ac:dyDescent="0.25">
      <c r="A79" s="9"/>
      <c r="B79" s="9"/>
      <c r="C79" s="9"/>
      <c r="D79" s="9"/>
      <c r="E79" s="9"/>
      <c r="F79" s="9"/>
      <c r="G79" s="9"/>
      <c r="H79" s="9"/>
      <c r="I79" s="9"/>
      <c r="J79" s="9"/>
      <c r="K79" s="9"/>
    </row>
    <row r="80" spans="1:11" ht="17.100000000000001" customHeight="1" x14ac:dyDescent="0.25">
      <c r="A80" s="9"/>
      <c r="B80" s="9"/>
      <c r="C80" s="9"/>
      <c r="D80" s="9"/>
      <c r="E80" s="9"/>
      <c r="F80" s="9"/>
      <c r="G80" s="9"/>
      <c r="H80" s="9"/>
      <c r="I80" s="9"/>
      <c r="J80" s="9"/>
      <c r="K80" s="9"/>
    </row>
    <row r="81" spans="1:11" ht="17.100000000000001" customHeight="1" x14ac:dyDescent="0.25">
      <c r="A81" s="9"/>
      <c r="B81" s="9"/>
      <c r="C81" s="9"/>
      <c r="D81" s="9"/>
      <c r="E81" s="9"/>
      <c r="F81" s="9"/>
      <c r="G81" s="9"/>
      <c r="H81" s="9"/>
      <c r="I81" s="9"/>
      <c r="J81" s="9"/>
      <c r="K81" s="9"/>
    </row>
    <row r="82" spans="1:11" ht="17.100000000000001" customHeight="1" x14ac:dyDescent="0.25">
      <c r="A82" s="9"/>
      <c r="B82" s="9"/>
      <c r="C82" s="9"/>
      <c r="D82" s="9"/>
      <c r="E82" s="9"/>
      <c r="F82" s="9"/>
      <c r="G82" s="9"/>
      <c r="H82" s="9"/>
      <c r="I82" s="9"/>
      <c r="J82" s="9"/>
      <c r="K82" s="9"/>
    </row>
    <row r="83" spans="1:11" ht="17.100000000000001" customHeight="1" x14ac:dyDescent="0.25">
      <c r="A83" s="9"/>
      <c r="B83" s="9"/>
      <c r="C83" s="9"/>
      <c r="D83" s="9"/>
      <c r="E83" s="9"/>
      <c r="F83" s="9"/>
      <c r="G83" s="9"/>
      <c r="H83" s="9"/>
      <c r="I83" s="9"/>
      <c r="J83" s="9"/>
      <c r="K83" s="9"/>
    </row>
    <row r="84" spans="1:11" ht="17.100000000000001" customHeight="1" x14ac:dyDescent="0.25">
      <c r="A84" s="9"/>
      <c r="B84" s="9"/>
      <c r="C84" s="9"/>
      <c r="D84" s="9"/>
      <c r="E84" s="9"/>
      <c r="F84" s="9"/>
      <c r="G84" s="9"/>
      <c r="H84" s="9"/>
      <c r="I84" s="9"/>
      <c r="J84" s="9"/>
      <c r="K84" s="9"/>
    </row>
    <row r="85" spans="1:11" ht="17.100000000000001" customHeight="1" x14ac:dyDescent="0.25">
      <c r="A85" s="9"/>
      <c r="B85" s="9"/>
      <c r="C85" s="9"/>
      <c r="D85" s="9"/>
      <c r="E85" s="9"/>
      <c r="F85" s="9"/>
      <c r="G85" s="9"/>
      <c r="H85" s="9"/>
      <c r="I85" s="9"/>
      <c r="J85" s="9"/>
      <c r="K85" s="9"/>
    </row>
    <row r="86" spans="1:11" ht="17.100000000000001" customHeight="1" x14ac:dyDescent="0.25">
      <c r="A86" s="9"/>
      <c r="B86" s="9"/>
      <c r="C86" s="9"/>
      <c r="D86" s="9"/>
      <c r="E86" s="9"/>
      <c r="F86" s="9"/>
      <c r="G86" s="9"/>
      <c r="H86" s="9"/>
      <c r="I86" s="9"/>
      <c r="J86" s="9"/>
      <c r="K86" s="9"/>
    </row>
    <row r="87" spans="1:11" ht="17.100000000000001" customHeight="1" x14ac:dyDescent="0.25">
      <c r="A87" s="9"/>
      <c r="B87" s="9"/>
      <c r="C87" s="9"/>
      <c r="D87" s="9"/>
      <c r="E87" s="9"/>
      <c r="F87" s="9"/>
      <c r="G87" s="9"/>
      <c r="H87" s="9"/>
      <c r="I87" s="9"/>
      <c r="J87" s="9"/>
      <c r="K87" s="9"/>
    </row>
    <row r="88" spans="1:11" ht="17.100000000000001" customHeight="1" x14ac:dyDescent="0.25">
      <c r="A88" s="9"/>
      <c r="B88" s="9"/>
      <c r="C88" s="9"/>
      <c r="D88" s="9"/>
      <c r="E88" s="9"/>
      <c r="F88" s="9"/>
      <c r="G88" s="9"/>
      <c r="H88" s="9"/>
      <c r="I88" s="9"/>
      <c r="J88" s="9"/>
      <c r="K88" s="9"/>
    </row>
    <row r="89" spans="1:11" ht="17.100000000000001" customHeight="1" x14ac:dyDescent="0.25">
      <c r="A89" s="9"/>
      <c r="B89" s="9"/>
      <c r="C89" s="9"/>
      <c r="D89" s="9"/>
      <c r="E89" s="9"/>
      <c r="F89" s="9"/>
      <c r="G89" s="9"/>
      <c r="H89" s="9"/>
      <c r="I89" s="9"/>
      <c r="J89" s="9"/>
      <c r="K89" s="9"/>
    </row>
    <row r="90" spans="1:11" ht="17.100000000000001" customHeight="1" x14ac:dyDescent="0.25">
      <c r="A90" s="9"/>
      <c r="B90" s="9"/>
      <c r="C90" s="9"/>
      <c r="D90" s="9"/>
      <c r="E90" s="9"/>
      <c r="F90" s="9"/>
      <c r="G90" s="9"/>
      <c r="H90" s="9"/>
      <c r="I90" s="9"/>
      <c r="J90" s="9"/>
      <c r="K90" s="9"/>
    </row>
    <row r="91" spans="1:11" ht="17.100000000000001" customHeight="1" x14ac:dyDescent="0.25">
      <c r="A91" s="9"/>
      <c r="B91" s="9"/>
      <c r="C91" s="9"/>
      <c r="D91" s="9"/>
      <c r="E91" s="9"/>
      <c r="F91" s="9"/>
      <c r="G91" s="9"/>
      <c r="H91" s="9"/>
      <c r="I91" s="9"/>
      <c r="J91" s="9"/>
      <c r="K91" s="9"/>
    </row>
    <row r="92" spans="1:11" ht="17.100000000000001" customHeight="1" x14ac:dyDescent="0.25">
      <c r="A92" s="9"/>
      <c r="B92" s="9"/>
      <c r="C92" s="9"/>
      <c r="D92" s="9"/>
      <c r="E92" s="9"/>
      <c r="F92" s="9"/>
      <c r="G92" s="9"/>
      <c r="H92" s="9"/>
      <c r="I92" s="9"/>
      <c r="J92" s="9"/>
      <c r="K92" s="9"/>
    </row>
    <row r="93" spans="1:11" ht="17.100000000000001" customHeight="1" x14ac:dyDescent="0.25">
      <c r="A93" s="9"/>
      <c r="B93" s="9"/>
      <c r="C93" s="9"/>
      <c r="D93" s="9"/>
      <c r="E93" s="9"/>
      <c r="F93" s="9"/>
      <c r="G93" s="9"/>
      <c r="H93" s="9"/>
      <c r="I93" s="9"/>
      <c r="J93" s="9"/>
      <c r="K93" s="9"/>
    </row>
    <row r="94" spans="1:11" ht="17.100000000000001" customHeight="1" x14ac:dyDescent="0.25">
      <c r="A94" s="9"/>
      <c r="B94" s="9"/>
      <c r="C94" s="9"/>
      <c r="D94" s="9"/>
      <c r="E94" s="9"/>
      <c r="F94" s="9"/>
      <c r="G94" s="9"/>
      <c r="H94" s="9"/>
      <c r="I94" s="9"/>
      <c r="J94" s="9"/>
      <c r="K94" s="9"/>
    </row>
    <row r="95" spans="1:11" ht="17.100000000000001" customHeight="1" x14ac:dyDescent="0.25">
      <c r="A95" s="9"/>
      <c r="B95" s="9"/>
      <c r="C95" s="9"/>
      <c r="D95" s="9"/>
      <c r="E95" s="9"/>
      <c r="F95" s="9"/>
      <c r="G95" s="9"/>
      <c r="H95" s="9"/>
      <c r="I95" s="9"/>
      <c r="J95" s="9"/>
      <c r="K95" s="9"/>
    </row>
    <row r="96" spans="1:11" ht="17.100000000000001" customHeight="1" x14ac:dyDescent="0.25">
      <c r="A96" s="9"/>
      <c r="B96" s="9"/>
      <c r="C96" s="9"/>
      <c r="D96" s="9"/>
      <c r="E96" s="9"/>
      <c r="F96" s="9"/>
      <c r="G96" s="9"/>
      <c r="H96" s="9"/>
      <c r="I96" s="9"/>
      <c r="J96" s="9"/>
      <c r="K96" s="9"/>
    </row>
    <row r="97" spans="1:11" ht="17.100000000000001" customHeight="1" x14ac:dyDescent="0.25">
      <c r="A97" s="9"/>
      <c r="B97" s="9"/>
      <c r="C97" s="9"/>
      <c r="D97" s="9"/>
      <c r="E97" s="9"/>
      <c r="F97" s="9"/>
      <c r="G97" s="9"/>
      <c r="H97" s="9"/>
      <c r="I97" s="9"/>
      <c r="J97" s="9"/>
      <c r="K97" s="9"/>
    </row>
    <row r="98" spans="1:11" ht="17.100000000000001" customHeight="1" x14ac:dyDescent="0.25">
      <c r="A98" s="9"/>
      <c r="B98" s="9"/>
      <c r="C98" s="9"/>
      <c r="D98" s="9"/>
      <c r="E98" s="9"/>
      <c r="F98" s="9"/>
      <c r="G98" s="9"/>
      <c r="H98" s="9"/>
      <c r="I98" s="9"/>
      <c r="J98" s="9"/>
      <c r="K98" s="9"/>
    </row>
    <row r="99" spans="1:11" ht="17.100000000000001" customHeight="1" x14ac:dyDescent="0.25">
      <c r="A99" s="9"/>
      <c r="B99" s="9"/>
      <c r="C99" s="9"/>
      <c r="D99" s="9"/>
      <c r="E99" s="9"/>
      <c r="F99" s="9"/>
      <c r="G99" s="9"/>
      <c r="H99" s="9"/>
      <c r="I99" s="9"/>
      <c r="J99" s="9"/>
      <c r="K99" s="9"/>
    </row>
    <row r="100" spans="1:11" ht="17.100000000000001" customHeight="1" x14ac:dyDescent="0.25">
      <c r="A100" s="9"/>
      <c r="B100" s="9"/>
      <c r="C100" s="9"/>
      <c r="D100" s="9"/>
      <c r="E100" s="9"/>
      <c r="F100" s="9"/>
      <c r="G100" s="9"/>
      <c r="H100" s="9"/>
      <c r="I100" s="9"/>
      <c r="J100" s="9"/>
      <c r="K100" s="9"/>
    </row>
    <row r="101" spans="1:11" ht="17.100000000000001" customHeight="1" x14ac:dyDescent="0.25">
      <c r="A101" s="9"/>
      <c r="B101" s="9"/>
      <c r="C101" s="9"/>
      <c r="D101" s="9"/>
      <c r="E101" s="9"/>
      <c r="F101" s="9"/>
      <c r="G101" s="9"/>
      <c r="H101" s="9"/>
      <c r="I101" s="9"/>
      <c r="J101" s="9"/>
      <c r="K101" s="9"/>
    </row>
    <row r="102" spans="1:11" ht="17.100000000000001" customHeight="1" x14ac:dyDescent="0.25">
      <c r="A102" s="9"/>
      <c r="B102" s="9"/>
      <c r="C102" s="9"/>
      <c r="D102" s="9"/>
      <c r="E102" s="9"/>
      <c r="F102" s="9"/>
      <c r="G102" s="9"/>
      <c r="H102" s="9"/>
      <c r="I102" s="9"/>
      <c r="J102" s="9"/>
      <c r="K102" s="9"/>
    </row>
    <row r="103" spans="1:11" ht="17.100000000000001" customHeight="1" x14ac:dyDescent="0.25">
      <c r="A103" s="9"/>
      <c r="B103" s="9"/>
      <c r="C103" s="9"/>
      <c r="D103" s="9"/>
      <c r="E103" s="9"/>
      <c r="F103" s="9"/>
      <c r="G103" s="9"/>
      <c r="H103" s="9"/>
      <c r="I103" s="9"/>
      <c r="J103" s="9"/>
      <c r="K103" s="9"/>
    </row>
    <row r="104" spans="1:11" ht="17.100000000000001" customHeight="1" x14ac:dyDescent="0.25">
      <c r="A104" s="9"/>
      <c r="B104" s="9"/>
      <c r="C104" s="9"/>
      <c r="D104" s="9"/>
      <c r="E104" s="9"/>
      <c r="F104" s="9"/>
      <c r="G104" s="9"/>
      <c r="H104" s="9"/>
      <c r="I104" s="9"/>
      <c r="J104" s="9"/>
      <c r="K104" s="9"/>
    </row>
    <row r="105" spans="1:11" ht="17.100000000000001" customHeight="1" x14ac:dyDescent="0.25">
      <c r="A105" s="9"/>
      <c r="B105" s="9"/>
      <c r="C105" s="9"/>
      <c r="D105" s="9"/>
      <c r="E105" s="9"/>
      <c r="F105" s="9"/>
      <c r="G105" s="9"/>
      <c r="H105" s="9"/>
      <c r="I105" s="9"/>
      <c r="J105" s="9"/>
      <c r="K105" s="9"/>
    </row>
    <row r="106" spans="1:11" ht="17.100000000000001" customHeight="1" x14ac:dyDescent="0.25">
      <c r="A106" s="9"/>
      <c r="B106" s="9"/>
      <c r="C106" s="9"/>
      <c r="D106" s="9"/>
      <c r="E106" s="9"/>
      <c r="F106" s="9"/>
      <c r="G106" s="9"/>
      <c r="H106" s="9"/>
      <c r="I106" s="9"/>
      <c r="J106" s="9"/>
      <c r="K106" s="9"/>
    </row>
    <row r="107" spans="1:11" ht="17.100000000000001" customHeight="1" x14ac:dyDescent="0.25">
      <c r="A107" s="9"/>
      <c r="B107" s="9"/>
      <c r="C107" s="9"/>
      <c r="D107" s="9"/>
      <c r="E107" s="9"/>
      <c r="F107" s="9"/>
      <c r="G107" s="9"/>
      <c r="H107" s="9"/>
      <c r="I107" s="9"/>
      <c r="J107" s="9"/>
      <c r="K107" s="9"/>
    </row>
    <row r="108" spans="1:11" ht="17.100000000000001" customHeight="1" x14ac:dyDescent="0.25">
      <c r="A108" s="9"/>
      <c r="B108" s="9"/>
      <c r="C108" s="9"/>
      <c r="D108" s="9"/>
      <c r="E108" s="9"/>
      <c r="F108" s="9"/>
      <c r="G108" s="9"/>
      <c r="H108" s="9"/>
      <c r="I108" s="9"/>
      <c r="J108" s="9"/>
      <c r="K108" s="9"/>
    </row>
    <row r="109" spans="1:11" ht="17.100000000000001" customHeight="1" x14ac:dyDescent="0.25">
      <c r="A109" s="9"/>
      <c r="B109" s="9"/>
      <c r="C109" s="9"/>
      <c r="D109" s="9"/>
      <c r="E109" s="9"/>
      <c r="F109" s="9"/>
      <c r="G109" s="9"/>
      <c r="H109" s="9"/>
      <c r="I109" s="9"/>
      <c r="J109" s="9"/>
      <c r="K109" s="9"/>
    </row>
    <row r="110" spans="1:11" ht="17.100000000000001" customHeight="1" x14ac:dyDescent="0.25">
      <c r="A110" s="9"/>
      <c r="B110" s="9"/>
      <c r="C110" s="9"/>
      <c r="D110" s="9"/>
      <c r="E110" s="9"/>
      <c r="F110" s="9"/>
      <c r="G110" s="9"/>
      <c r="H110" s="9"/>
      <c r="I110" s="9"/>
      <c r="J110" s="9"/>
      <c r="K110" s="9"/>
    </row>
    <row r="111" spans="1:11" ht="17.100000000000001" customHeight="1" x14ac:dyDescent="0.25">
      <c r="A111" s="9"/>
      <c r="B111" s="9"/>
      <c r="C111" s="9"/>
      <c r="D111" s="9"/>
      <c r="E111" s="9"/>
      <c r="F111" s="9"/>
      <c r="G111" s="9"/>
      <c r="H111" s="9"/>
      <c r="I111" s="9"/>
      <c r="J111" s="9"/>
      <c r="K111" s="9"/>
    </row>
    <row r="112" spans="1:11" ht="17.100000000000001" customHeight="1" x14ac:dyDescent="0.25">
      <c r="A112" s="9"/>
      <c r="B112" s="9"/>
      <c r="C112" s="9"/>
      <c r="D112" s="9"/>
      <c r="E112" s="9"/>
      <c r="F112" s="9"/>
      <c r="G112" s="9"/>
      <c r="H112" s="9"/>
      <c r="I112" s="9"/>
      <c r="J112" s="9"/>
      <c r="K112" s="9"/>
    </row>
    <row r="113" spans="1:11" ht="17.100000000000001" customHeight="1" x14ac:dyDescent="0.25">
      <c r="A113" s="9"/>
      <c r="B113" s="9"/>
      <c r="C113" s="9"/>
      <c r="D113" s="9"/>
      <c r="E113" s="9"/>
      <c r="F113" s="9"/>
      <c r="G113" s="9"/>
      <c r="H113" s="9"/>
      <c r="I113" s="9"/>
      <c r="J113" s="9"/>
      <c r="K113" s="9"/>
    </row>
    <row r="114" spans="1:11" ht="17.100000000000001" customHeight="1" x14ac:dyDescent="0.25">
      <c r="A114" s="9"/>
      <c r="B114" s="9"/>
      <c r="C114" s="9"/>
      <c r="D114" s="9"/>
      <c r="E114" s="9"/>
      <c r="F114" s="9"/>
      <c r="G114" s="9"/>
      <c r="H114" s="9"/>
      <c r="I114" s="9"/>
      <c r="J114" s="9"/>
      <c r="K114" s="9"/>
    </row>
    <row r="115" spans="1:11" ht="17.100000000000001" customHeight="1" x14ac:dyDescent="0.25">
      <c r="A115" s="9"/>
      <c r="B115" s="9"/>
      <c r="C115" s="9"/>
      <c r="D115" s="9"/>
      <c r="E115" s="9"/>
      <c r="F115" s="9"/>
      <c r="G115" s="9"/>
      <c r="H115" s="9"/>
      <c r="I115" s="9"/>
      <c r="J115" s="9"/>
      <c r="K115" s="9"/>
    </row>
    <row r="116" spans="1:11" ht="17.100000000000001" customHeight="1" x14ac:dyDescent="0.25">
      <c r="A116" s="9"/>
      <c r="B116" s="9"/>
      <c r="C116" s="9"/>
      <c r="D116" s="9"/>
      <c r="E116" s="9"/>
      <c r="F116" s="9"/>
      <c r="G116" s="9"/>
      <c r="H116" s="9"/>
      <c r="I116" s="9"/>
      <c r="J116" s="9"/>
      <c r="K116" s="9"/>
    </row>
    <row r="117" spans="1:11" ht="17.100000000000001" customHeight="1" x14ac:dyDescent="0.25">
      <c r="A117" s="9"/>
      <c r="B117" s="9"/>
      <c r="C117" s="9"/>
      <c r="D117" s="9"/>
      <c r="E117" s="9"/>
      <c r="F117" s="9"/>
      <c r="G117" s="9"/>
      <c r="H117" s="9"/>
      <c r="I117" s="9"/>
      <c r="J117" s="9"/>
      <c r="K117" s="9"/>
    </row>
    <row r="118" spans="1:11" ht="17.100000000000001" customHeight="1" x14ac:dyDescent="0.25"/>
    <row r="119" spans="1:11" ht="17.100000000000001" customHeight="1" x14ac:dyDescent="0.25">
      <c r="A119" s="9"/>
      <c r="B119" s="9"/>
      <c r="C119" s="9"/>
      <c r="D119" s="9"/>
      <c r="E119" s="9"/>
      <c r="F119" s="9"/>
      <c r="G119" s="9"/>
      <c r="H119" s="9"/>
      <c r="I119" s="9"/>
      <c r="J119" s="9"/>
      <c r="K119" s="9"/>
    </row>
    <row r="120" spans="1:11" ht="17.100000000000001" customHeight="1" x14ac:dyDescent="0.25">
      <c r="A120" s="9"/>
      <c r="B120" s="9"/>
      <c r="C120" s="9"/>
      <c r="D120" s="9"/>
      <c r="E120" s="9"/>
      <c r="F120" s="9"/>
      <c r="G120" s="9"/>
      <c r="H120" s="9"/>
      <c r="I120" s="9"/>
      <c r="J120" s="9"/>
      <c r="K120" s="9"/>
    </row>
    <row r="121" spans="1:11" ht="17.100000000000001" customHeight="1" x14ac:dyDescent="0.25">
      <c r="A121" s="9"/>
      <c r="B121" s="9"/>
      <c r="C121" s="9"/>
      <c r="D121" s="9"/>
      <c r="E121" s="9"/>
      <c r="F121" s="9"/>
      <c r="G121" s="9"/>
      <c r="H121" s="9"/>
      <c r="I121" s="9"/>
      <c r="J121" s="9"/>
      <c r="K121" s="9"/>
    </row>
    <row r="122" spans="1:11" ht="17.100000000000001" customHeight="1" x14ac:dyDescent="0.25">
      <c r="A122" s="9"/>
      <c r="B122" s="9"/>
      <c r="C122" s="9"/>
      <c r="D122" s="9"/>
      <c r="E122" s="9"/>
      <c r="F122" s="9"/>
      <c r="G122" s="9"/>
      <c r="H122" s="9"/>
      <c r="I122" s="9"/>
      <c r="J122" s="9"/>
      <c r="K122" s="9"/>
    </row>
    <row r="123" spans="1:11" ht="17.100000000000001" customHeight="1" x14ac:dyDescent="0.25">
      <c r="A123" s="9"/>
      <c r="B123" s="9"/>
      <c r="C123" s="9"/>
      <c r="D123" s="9"/>
      <c r="E123" s="9"/>
      <c r="F123" s="9"/>
      <c r="G123" s="9"/>
      <c r="H123" s="9"/>
      <c r="I123" s="9"/>
      <c r="J123" s="9"/>
      <c r="K123" s="9"/>
    </row>
    <row r="124" spans="1:11" ht="17.100000000000001" customHeight="1" x14ac:dyDescent="0.25">
      <c r="A124" s="9"/>
      <c r="B124" s="9"/>
      <c r="C124" s="9"/>
      <c r="D124" s="9"/>
      <c r="E124" s="9"/>
      <c r="F124" s="9"/>
      <c r="G124" s="9"/>
      <c r="H124" s="9"/>
      <c r="I124" s="9"/>
      <c r="J124" s="9"/>
      <c r="K124" s="9"/>
    </row>
    <row r="125" spans="1:11" ht="17.100000000000001" customHeight="1" x14ac:dyDescent="0.25">
      <c r="A125" s="9"/>
      <c r="B125" s="9"/>
      <c r="C125" s="9"/>
      <c r="D125" s="9"/>
      <c r="E125" s="9"/>
      <c r="F125" s="9"/>
      <c r="G125" s="9"/>
      <c r="H125" s="9"/>
      <c r="I125" s="9"/>
      <c r="J125" s="9"/>
      <c r="K125" s="9"/>
    </row>
    <row r="126" spans="1:11" ht="17.100000000000001" customHeight="1" x14ac:dyDescent="0.25">
      <c r="A126" s="9"/>
      <c r="B126" s="9"/>
      <c r="C126" s="9"/>
      <c r="D126" s="9"/>
      <c r="E126" s="9"/>
      <c r="F126" s="9"/>
      <c r="G126" s="9"/>
      <c r="H126" s="9"/>
      <c r="I126" s="9"/>
      <c r="J126" s="9"/>
      <c r="K126" s="9"/>
    </row>
    <row r="127" spans="1:11" ht="17.100000000000001" customHeight="1" x14ac:dyDescent="0.25">
      <c r="A127" s="9"/>
      <c r="B127" s="9"/>
      <c r="C127" s="9"/>
      <c r="D127" s="9"/>
      <c r="E127" s="9"/>
      <c r="F127" s="9"/>
      <c r="G127" s="9"/>
      <c r="H127" s="9"/>
      <c r="I127" s="9"/>
      <c r="J127" s="9"/>
      <c r="K127" s="9"/>
    </row>
    <row r="128" spans="1:11" ht="17.100000000000001" customHeight="1" x14ac:dyDescent="0.25">
      <c r="A128" s="9"/>
      <c r="B128" s="9"/>
      <c r="C128" s="9"/>
      <c r="D128" s="9"/>
      <c r="E128" s="9"/>
      <c r="F128" s="9"/>
      <c r="G128" s="9"/>
      <c r="H128" s="9"/>
      <c r="I128" s="9"/>
      <c r="J128" s="9"/>
      <c r="K128" s="9"/>
    </row>
    <row r="129" spans="1:11" ht="17.100000000000001" customHeight="1" x14ac:dyDescent="0.25">
      <c r="A129" s="9"/>
      <c r="B129" s="9"/>
      <c r="C129" s="9"/>
      <c r="D129" s="9"/>
      <c r="E129" s="9"/>
      <c r="F129" s="9"/>
      <c r="G129" s="9"/>
      <c r="H129" s="9"/>
      <c r="I129" s="9"/>
      <c r="J129" s="9"/>
      <c r="K129" s="9"/>
    </row>
    <row r="130" spans="1:11" ht="17.100000000000001" customHeight="1" x14ac:dyDescent="0.25">
      <c r="A130" s="9"/>
      <c r="B130" s="9"/>
      <c r="C130" s="9"/>
      <c r="D130" s="9"/>
      <c r="E130" s="9"/>
      <c r="F130" s="9"/>
      <c r="G130" s="9"/>
      <c r="H130" s="9"/>
      <c r="I130" s="9"/>
      <c r="J130" s="9"/>
      <c r="K130" s="9"/>
    </row>
    <row r="131" spans="1:11" ht="17.100000000000001" customHeight="1" x14ac:dyDescent="0.25">
      <c r="A131" s="9"/>
      <c r="B131" s="9"/>
      <c r="C131" s="9"/>
      <c r="D131" s="9"/>
      <c r="E131" s="9"/>
      <c r="F131" s="9"/>
      <c r="G131" s="9"/>
      <c r="H131" s="9"/>
      <c r="I131" s="9"/>
      <c r="J131" s="9"/>
      <c r="K131" s="9"/>
    </row>
    <row r="132" spans="1:11" ht="17.100000000000001" customHeight="1" x14ac:dyDescent="0.25">
      <c r="A132" s="9"/>
      <c r="B132" s="9"/>
      <c r="C132" s="9"/>
      <c r="D132" s="9"/>
      <c r="E132" s="9"/>
      <c r="F132" s="9"/>
      <c r="G132" s="9"/>
      <c r="H132" s="9"/>
      <c r="I132" s="9"/>
      <c r="J132" s="9"/>
      <c r="K132" s="9"/>
    </row>
    <row r="133" spans="1:11" ht="17.100000000000001" customHeight="1" x14ac:dyDescent="0.25">
      <c r="A133" s="9"/>
      <c r="B133" s="9"/>
      <c r="C133" s="9"/>
      <c r="D133" s="9"/>
      <c r="E133" s="9"/>
      <c r="F133" s="9"/>
      <c r="G133" s="9"/>
      <c r="H133" s="9"/>
      <c r="I133" s="9"/>
      <c r="J133" s="9"/>
      <c r="K133" s="9"/>
    </row>
    <row r="134" spans="1:11" ht="17.100000000000001" customHeight="1" x14ac:dyDescent="0.25">
      <c r="A134" s="9"/>
      <c r="B134" s="9"/>
      <c r="C134" s="9"/>
      <c r="D134" s="9"/>
      <c r="E134" s="9"/>
      <c r="F134" s="9"/>
      <c r="G134" s="9"/>
      <c r="H134" s="9"/>
      <c r="I134" s="9"/>
      <c r="J134" s="9"/>
      <c r="K134" s="9"/>
    </row>
    <row r="135" spans="1:11" ht="17.100000000000001" customHeight="1" x14ac:dyDescent="0.25">
      <c r="A135" s="9"/>
      <c r="B135" s="9"/>
      <c r="C135" s="9"/>
      <c r="D135" s="9"/>
      <c r="E135" s="9"/>
      <c r="F135" s="9"/>
      <c r="G135" s="9"/>
      <c r="H135" s="9"/>
      <c r="I135" s="9"/>
      <c r="J135" s="9"/>
      <c r="K135" s="9"/>
    </row>
    <row r="136" spans="1:11" ht="17.100000000000001" customHeight="1" x14ac:dyDescent="0.25">
      <c r="A136" s="9"/>
      <c r="B136" s="9"/>
      <c r="C136" s="9"/>
      <c r="D136" s="9"/>
      <c r="E136" s="9"/>
      <c r="F136" s="9"/>
      <c r="G136" s="9"/>
      <c r="H136" s="9"/>
      <c r="I136" s="9"/>
      <c r="J136" s="9"/>
      <c r="K136" s="9"/>
    </row>
    <row r="137" spans="1:11" ht="17.100000000000001" customHeight="1" x14ac:dyDescent="0.25">
      <c r="A137" s="9"/>
      <c r="B137" s="9"/>
      <c r="C137" s="9"/>
      <c r="D137" s="9"/>
      <c r="E137" s="9"/>
      <c r="F137" s="9"/>
      <c r="G137" s="9"/>
      <c r="H137" s="9"/>
      <c r="I137" s="9"/>
      <c r="J137" s="9"/>
      <c r="K137" s="9"/>
    </row>
    <row r="138" spans="1:11" ht="17.100000000000001" customHeight="1" x14ac:dyDescent="0.25">
      <c r="A138" s="9"/>
      <c r="B138" s="9"/>
      <c r="C138" s="9"/>
      <c r="D138" s="9"/>
      <c r="E138" s="9"/>
      <c r="F138" s="9"/>
      <c r="G138" s="9"/>
      <c r="H138" s="9"/>
      <c r="I138" s="9"/>
      <c r="J138" s="9"/>
      <c r="K138" s="9"/>
    </row>
    <row r="139" spans="1:11" ht="17.100000000000001" customHeight="1" x14ac:dyDescent="0.25">
      <c r="A139" s="9"/>
      <c r="B139" s="9"/>
      <c r="C139" s="9"/>
      <c r="D139" s="9"/>
      <c r="E139" s="9"/>
      <c r="F139" s="9"/>
      <c r="G139" s="9"/>
      <c r="H139" s="9"/>
      <c r="I139" s="9"/>
      <c r="J139" s="9"/>
      <c r="K139" s="9"/>
    </row>
    <row r="140" spans="1:11" ht="17.100000000000001" customHeight="1" x14ac:dyDescent="0.25">
      <c r="A140" s="9"/>
      <c r="B140" s="9"/>
      <c r="C140" s="9"/>
      <c r="D140" s="9"/>
      <c r="E140" s="9"/>
      <c r="F140" s="9"/>
      <c r="G140" s="9"/>
      <c r="H140" s="9"/>
      <c r="I140" s="9"/>
      <c r="J140" s="9"/>
      <c r="K140" s="9"/>
    </row>
    <row r="141" spans="1:11" ht="17.100000000000001" customHeight="1" x14ac:dyDescent="0.25">
      <c r="A141" s="9"/>
      <c r="B141" s="9"/>
      <c r="C141" s="9"/>
      <c r="D141" s="9"/>
      <c r="E141" s="9"/>
      <c r="F141" s="9"/>
      <c r="G141" s="9"/>
      <c r="H141" s="9"/>
      <c r="I141" s="9"/>
      <c r="J141" s="9"/>
      <c r="K141" s="9"/>
    </row>
    <row r="142" spans="1:11" ht="17.100000000000001" customHeight="1" x14ac:dyDescent="0.25">
      <c r="A142" s="9"/>
      <c r="B142" s="9"/>
      <c r="C142" s="9"/>
      <c r="D142" s="9"/>
      <c r="E142" s="9"/>
      <c r="F142" s="9"/>
      <c r="G142" s="9"/>
      <c r="H142" s="9"/>
      <c r="I142" s="9"/>
      <c r="J142" s="9"/>
      <c r="K142" s="9"/>
    </row>
    <row r="143" spans="1:11" ht="17.100000000000001" customHeight="1" x14ac:dyDescent="0.25">
      <c r="A143" s="9"/>
      <c r="B143" s="9"/>
      <c r="C143" s="9"/>
      <c r="D143" s="9"/>
      <c r="E143" s="9"/>
      <c r="F143" s="9"/>
      <c r="G143" s="9"/>
      <c r="H143" s="9"/>
      <c r="I143" s="9"/>
      <c r="J143" s="9"/>
      <c r="K143" s="9"/>
    </row>
    <row r="144" spans="1:11" ht="17.100000000000001" customHeight="1" x14ac:dyDescent="0.25">
      <c r="A144" s="9"/>
      <c r="B144" s="9"/>
      <c r="C144" s="9"/>
      <c r="D144" s="9"/>
      <c r="E144" s="9"/>
      <c r="F144" s="9"/>
      <c r="G144" s="9"/>
      <c r="H144" s="9"/>
      <c r="I144" s="9"/>
      <c r="J144" s="9"/>
      <c r="K144" s="9"/>
    </row>
    <row r="145" spans="1:11" ht="17.100000000000001" customHeight="1" x14ac:dyDescent="0.25">
      <c r="A145" s="9"/>
      <c r="B145" s="9"/>
      <c r="C145" s="9"/>
      <c r="D145" s="9"/>
      <c r="E145" s="9"/>
      <c r="F145" s="9"/>
      <c r="G145" s="9"/>
      <c r="H145" s="9"/>
      <c r="I145" s="9"/>
      <c r="J145" s="9"/>
      <c r="K145" s="9"/>
    </row>
    <row r="146" spans="1:11" ht="17.100000000000001" customHeight="1" x14ac:dyDescent="0.25">
      <c r="A146" s="9"/>
      <c r="B146" s="9"/>
      <c r="C146" s="9"/>
      <c r="D146" s="9"/>
      <c r="E146" s="9"/>
      <c r="F146" s="9"/>
      <c r="G146" s="9"/>
      <c r="H146" s="9"/>
      <c r="I146" s="9"/>
      <c r="J146" s="9"/>
      <c r="K146" s="9"/>
    </row>
    <row r="147" spans="1:11" ht="17.100000000000001" customHeight="1" x14ac:dyDescent="0.25">
      <c r="A147" s="9"/>
      <c r="B147" s="9"/>
      <c r="C147" s="9"/>
      <c r="D147" s="9"/>
      <c r="E147" s="9"/>
      <c r="F147" s="9"/>
      <c r="G147" s="9"/>
      <c r="H147" s="9"/>
      <c r="I147" s="9"/>
      <c r="J147" s="9"/>
      <c r="K147" s="9"/>
    </row>
    <row r="148" spans="1:11" ht="17.100000000000001" customHeight="1" x14ac:dyDescent="0.25">
      <c r="A148" s="9"/>
      <c r="B148" s="9"/>
      <c r="C148" s="9"/>
      <c r="D148" s="9"/>
      <c r="E148" s="9"/>
      <c r="F148" s="9"/>
      <c r="G148" s="9"/>
      <c r="H148" s="9"/>
      <c r="I148" s="9"/>
      <c r="J148" s="9"/>
      <c r="K148" s="9"/>
    </row>
    <row r="149" spans="1:11" ht="17.100000000000001" customHeight="1" x14ac:dyDescent="0.25">
      <c r="A149" s="9"/>
      <c r="B149" s="9"/>
      <c r="C149" s="9"/>
      <c r="D149" s="9"/>
      <c r="E149" s="9"/>
      <c r="F149" s="9"/>
      <c r="G149" s="9"/>
      <c r="H149" s="9"/>
      <c r="I149" s="9"/>
      <c r="J149" s="9"/>
      <c r="K149" s="9"/>
    </row>
    <row r="150" spans="1:11" ht="17.100000000000001" customHeight="1" x14ac:dyDescent="0.25">
      <c r="A150" s="9"/>
      <c r="B150" s="9"/>
      <c r="C150" s="9"/>
      <c r="D150" s="9"/>
      <c r="E150" s="9"/>
      <c r="F150" s="9"/>
      <c r="G150" s="9"/>
      <c r="H150" s="9"/>
      <c r="I150" s="9"/>
      <c r="J150" s="9"/>
      <c r="K150" s="9"/>
    </row>
    <row r="151" spans="1:11" ht="17.100000000000001" customHeight="1" x14ac:dyDescent="0.25">
      <c r="A151" s="9"/>
      <c r="B151" s="9"/>
      <c r="C151" s="9"/>
      <c r="D151" s="9"/>
      <c r="E151" s="9"/>
      <c r="F151" s="9"/>
      <c r="G151" s="9"/>
      <c r="H151" s="9"/>
      <c r="I151" s="9"/>
      <c r="J151" s="9"/>
      <c r="K151" s="9"/>
    </row>
    <row r="152" spans="1:11" ht="17.100000000000001" customHeight="1" x14ac:dyDescent="0.25">
      <c r="A152" s="9"/>
      <c r="B152" s="9"/>
      <c r="C152" s="9"/>
      <c r="D152" s="9"/>
      <c r="E152" s="9"/>
      <c r="F152" s="9"/>
      <c r="G152" s="9"/>
      <c r="H152" s="9"/>
      <c r="I152" s="9"/>
      <c r="J152" s="9"/>
      <c r="K152" s="9"/>
    </row>
    <row r="153" spans="1:11" ht="17.100000000000001" customHeight="1" x14ac:dyDescent="0.25">
      <c r="A153" s="9"/>
      <c r="B153" s="9"/>
      <c r="C153" s="9"/>
      <c r="D153" s="9"/>
      <c r="E153" s="9"/>
      <c r="F153" s="9"/>
      <c r="G153" s="9"/>
      <c r="H153" s="9"/>
      <c r="I153" s="9"/>
      <c r="J153" s="9"/>
      <c r="K153" s="9"/>
    </row>
    <row r="154" spans="1:11" ht="17.100000000000001" customHeight="1" x14ac:dyDescent="0.25">
      <c r="A154" s="9"/>
      <c r="B154" s="9"/>
      <c r="C154" s="9"/>
      <c r="D154" s="9"/>
      <c r="E154" s="9"/>
      <c r="F154" s="9"/>
      <c r="G154" s="9"/>
      <c r="H154" s="9"/>
      <c r="I154" s="9"/>
      <c r="J154" s="9"/>
      <c r="K154" s="9"/>
    </row>
    <row r="155" spans="1:11" ht="17.100000000000001" customHeight="1" x14ac:dyDescent="0.25">
      <c r="A155" s="9"/>
      <c r="B155" s="9"/>
      <c r="C155" s="9"/>
      <c r="D155" s="9"/>
      <c r="E155" s="9"/>
      <c r="F155" s="9"/>
      <c r="G155" s="9"/>
      <c r="H155" s="9"/>
      <c r="I155" s="9"/>
      <c r="J155" s="9"/>
      <c r="K155" s="9"/>
    </row>
    <row r="156" spans="1:11" ht="17.100000000000001" customHeight="1" x14ac:dyDescent="0.25">
      <c r="A156" s="9"/>
      <c r="B156" s="9"/>
      <c r="C156" s="9"/>
      <c r="D156" s="9"/>
      <c r="E156" s="9"/>
      <c r="F156" s="9"/>
      <c r="G156" s="9"/>
      <c r="H156" s="9"/>
      <c r="I156" s="9"/>
      <c r="J156" s="9"/>
      <c r="K156" s="9"/>
    </row>
    <row r="157" spans="1:11" ht="17.100000000000001" customHeight="1" x14ac:dyDescent="0.25">
      <c r="A157" s="9"/>
      <c r="B157" s="9"/>
      <c r="C157" s="9"/>
      <c r="D157" s="9"/>
      <c r="E157" s="9"/>
      <c r="F157" s="9"/>
      <c r="G157" s="9"/>
      <c r="H157" s="9"/>
      <c r="I157" s="9"/>
      <c r="J157" s="9"/>
      <c r="K157" s="9"/>
    </row>
    <row r="158" spans="1:11" ht="17.100000000000001" customHeight="1" x14ac:dyDescent="0.25">
      <c r="A158" s="9"/>
      <c r="B158" s="9"/>
      <c r="C158" s="9"/>
      <c r="D158" s="9"/>
      <c r="E158" s="9"/>
      <c r="F158" s="9"/>
      <c r="G158" s="9"/>
      <c r="H158" s="9"/>
      <c r="I158" s="9"/>
      <c r="J158" s="9"/>
      <c r="K158" s="9"/>
    </row>
    <row r="159" spans="1:11" ht="17.100000000000001" customHeight="1" x14ac:dyDescent="0.25">
      <c r="A159" s="9"/>
      <c r="B159" s="9"/>
      <c r="C159" s="9"/>
      <c r="D159" s="9"/>
      <c r="E159" s="9"/>
      <c r="F159" s="9"/>
      <c r="G159" s="9"/>
      <c r="H159" s="9"/>
      <c r="I159" s="9"/>
      <c r="J159" s="9"/>
      <c r="K159" s="9"/>
    </row>
    <row r="160" spans="1:11" ht="17.100000000000001" customHeight="1" x14ac:dyDescent="0.25">
      <c r="A160" s="9"/>
      <c r="B160" s="9"/>
      <c r="C160" s="9"/>
      <c r="D160" s="9"/>
      <c r="E160" s="9"/>
      <c r="F160" s="9"/>
      <c r="G160" s="9"/>
      <c r="H160" s="9"/>
      <c r="I160" s="9"/>
      <c r="J160" s="9"/>
      <c r="K160" s="9"/>
    </row>
    <row r="161" spans="1:11" ht="17.100000000000001" customHeight="1" x14ac:dyDescent="0.25">
      <c r="A161" s="9"/>
      <c r="B161" s="9"/>
      <c r="C161" s="9"/>
      <c r="D161" s="9"/>
      <c r="E161" s="9"/>
      <c r="F161" s="9"/>
      <c r="G161" s="9"/>
      <c r="H161" s="9"/>
      <c r="I161" s="9"/>
      <c r="J161" s="9"/>
      <c r="K161" s="9"/>
    </row>
    <row r="162" spans="1:11" ht="17.100000000000001" customHeight="1" x14ac:dyDescent="0.25">
      <c r="A162" s="9"/>
      <c r="B162" s="9"/>
      <c r="C162" s="9"/>
      <c r="D162" s="9"/>
      <c r="E162" s="9"/>
      <c r="F162" s="9"/>
      <c r="G162" s="9"/>
      <c r="H162" s="9"/>
      <c r="I162" s="9"/>
      <c r="J162" s="9"/>
      <c r="K162" s="9"/>
    </row>
    <row r="163" spans="1:11" ht="17.100000000000001" customHeight="1" x14ac:dyDescent="0.25">
      <c r="A163" s="9"/>
      <c r="B163" s="9"/>
      <c r="C163" s="9"/>
      <c r="D163" s="9"/>
      <c r="E163" s="9"/>
      <c r="F163" s="9"/>
      <c r="G163" s="9"/>
      <c r="H163" s="9"/>
      <c r="I163" s="9"/>
      <c r="J163" s="9"/>
      <c r="K163" s="9"/>
    </row>
    <row r="164" spans="1:11" ht="17.100000000000001" customHeight="1" x14ac:dyDescent="0.25">
      <c r="A164" s="9"/>
      <c r="B164" s="9"/>
      <c r="C164" s="9"/>
      <c r="D164" s="9"/>
      <c r="E164" s="9"/>
      <c r="F164" s="9"/>
      <c r="G164" s="9"/>
      <c r="H164" s="9"/>
      <c r="I164" s="9"/>
      <c r="J164" s="9"/>
      <c r="K164" s="9"/>
    </row>
    <row r="165" spans="1:11" ht="17.100000000000001" customHeight="1" x14ac:dyDescent="0.25">
      <c r="A165" s="9"/>
      <c r="B165" s="9"/>
      <c r="C165" s="9"/>
      <c r="D165" s="9"/>
      <c r="E165" s="9"/>
      <c r="F165" s="9"/>
      <c r="G165" s="9"/>
      <c r="H165" s="9"/>
      <c r="I165" s="9"/>
      <c r="J165" s="9"/>
      <c r="K165" s="9"/>
    </row>
    <row r="166" spans="1:11" ht="17.100000000000001" customHeight="1" x14ac:dyDescent="0.25">
      <c r="A166" s="9"/>
      <c r="B166" s="9"/>
      <c r="C166" s="9"/>
      <c r="D166" s="9"/>
      <c r="E166" s="9"/>
      <c r="F166" s="9"/>
      <c r="G166" s="9"/>
      <c r="H166" s="9"/>
      <c r="I166" s="9"/>
      <c r="J166" s="9"/>
      <c r="K166" s="9"/>
    </row>
    <row r="167" spans="1:11" ht="17.100000000000001" customHeight="1" x14ac:dyDescent="0.25">
      <c r="A167" s="9"/>
      <c r="B167" s="9"/>
      <c r="C167" s="9"/>
      <c r="D167" s="9"/>
      <c r="E167" s="9"/>
      <c r="F167" s="9"/>
      <c r="G167" s="9"/>
      <c r="H167" s="9"/>
      <c r="I167" s="9"/>
      <c r="J167" s="9"/>
      <c r="K167" s="9"/>
    </row>
    <row r="168" spans="1:11" ht="17.100000000000001" customHeight="1" x14ac:dyDescent="0.25">
      <c r="A168" s="9"/>
      <c r="B168" s="9"/>
      <c r="C168" s="9"/>
      <c r="D168" s="9"/>
      <c r="E168" s="9"/>
      <c r="F168" s="9"/>
      <c r="G168" s="9"/>
      <c r="H168" s="9"/>
      <c r="I168" s="9"/>
      <c r="J168" s="9"/>
      <c r="K168" s="9"/>
    </row>
    <row r="169" spans="1:11" ht="17.100000000000001" customHeight="1" x14ac:dyDescent="0.25">
      <c r="A169" s="9"/>
      <c r="B169" s="9"/>
      <c r="C169" s="9"/>
      <c r="D169" s="9"/>
      <c r="E169" s="9"/>
      <c r="F169" s="9"/>
      <c r="G169" s="9"/>
      <c r="H169" s="9"/>
      <c r="I169" s="9"/>
      <c r="J169" s="9"/>
      <c r="K169" s="9"/>
    </row>
    <row r="170" spans="1:11" ht="17.100000000000001" customHeight="1" x14ac:dyDescent="0.25">
      <c r="A170" s="9"/>
      <c r="B170" s="9"/>
      <c r="C170" s="9"/>
      <c r="D170" s="9"/>
      <c r="E170" s="9"/>
      <c r="F170" s="9"/>
      <c r="G170" s="9"/>
      <c r="H170" s="9"/>
      <c r="I170" s="9"/>
      <c r="J170" s="9"/>
      <c r="K170" s="9"/>
    </row>
    <row r="171" spans="1:11" ht="17.100000000000001" customHeight="1" x14ac:dyDescent="0.25">
      <c r="A171" s="9"/>
      <c r="B171" s="9"/>
      <c r="C171" s="9"/>
      <c r="D171" s="9"/>
      <c r="E171" s="9"/>
      <c r="F171" s="9"/>
      <c r="G171" s="9"/>
      <c r="H171" s="9"/>
      <c r="I171" s="9"/>
      <c r="J171" s="9"/>
      <c r="K171" s="9"/>
    </row>
    <row r="172" spans="1:11" ht="17.100000000000001" customHeight="1" x14ac:dyDescent="0.25">
      <c r="A172" s="9"/>
      <c r="B172" s="9"/>
      <c r="C172" s="9"/>
      <c r="D172" s="9"/>
      <c r="E172" s="9"/>
      <c r="F172" s="9"/>
      <c r="G172" s="9"/>
      <c r="H172" s="9"/>
      <c r="I172" s="9"/>
      <c r="J172" s="9"/>
      <c r="K172" s="9"/>
    </row>
    <row r="173" spans="1:11" ht="17.100000000000001" customHeight="1" x14ac:dyDescent="0.25">
      <c r="A173" s="9"/>
      <c r="B173" s="9"/>
      <c r="C173" s="9"/>
      <c r="D173" s="9"/>
      <c r="E173" s="9"/>
      <c r="F173" s="9"/>
      <c r="G173" s="9"/>
      <c r="H173" s="9"/>
      <c r="I173" s="9"/>
      <c r="J173" s="9"/>
      <c r="K173" s="9"/>
    </row>
    <row r="174" spans="1:11" ht="17.100000000000001" customHeight="1" x14ac:dyDescent="0.25">
      <c r="A174" s="9"/>
      <c r="B174" s="9"/>
      <c r="C174" s="9"/>
      <c r="D174" s="9"/>
      <c r="E174" s="9"/>
      <c r="F174" s="9"/>
      <c r="G174" s="9"/>
      <c r="H174" s="9"/>
      <c r="I174" s="9"/>
      <c r="J174" s="9"/>
      <c r="K174" s="9"/>
    </row>
    <row r="175" spans="1:11" ht="17.100000000000001" customHeight="1" x14ac:dyDescent="0.25">
      <c r="A175" s="9"/>
      <c r="B175" s="9"/>
      <c r="C175" s="9"/>
      <c r="D175" s="9"/>
      <c r="E175" s="9"/>
      <c r="F175" s="9"/>
      <c r="G175" s="9"/>
      <c r="H175" s="9"/>
      <c r="I175" s="9"/>
      <c r="J175" s="9"/>
      <c r="K175" s="9"/>
    </row>
    <row r="176" spans="1:11" ht="17.100000000000001" customHeight="1" x14ac:dyDescent="0.25">
      <c r="A176" s="9"/>
      <c r="B176" s="9"/>
      <c r="C176" s="9"/>
      <c r="D176" s="9"/>
      <c r="E176" s="9"/>
      <c r="F176" s="9"/>
      <c r="G176" s="9"/>
      <c r="H176" s="9"/>
      <c r="I176" s="9"/>
      <c r="J176" s="9"/>
      <c r="K176" s="9"/>
    </row>
    <row r="177" spans="1:11" ht="17.100000000000001" customHeight="1" x14ac:dyDescent="0.25">
      <c r="A177" s="9"/>
      <c r="B177" s="9"/>
      <c r="C177" s="9"/>
      <c r="D177" s="9"/>
      <c r="E177" s="9"/>
      <c r="F177" s="9"/>
      <c r="G177" s="9"/>
      <c r="H177" s="9"/>
      <c r="I177" s="9"/>
      <c r="J177" s="9"/>
      <c r="K177" s="9"/>
    </row>
    <row r="178" spans="1:11" ht="17.100000000000001" customHeight="1" x14ac:dyDescent="0.25">
      <c r="A178" s="9"/>
      <c r="B178" s="9"/>
      <c r="C178" s="9"/>
      <c r="D178" s="9"/>
      <c r="E178" s="9"/>
      <c r="F178" s="9"/>
      <c r="G178" s="9"/>
      <c r="H178" s="9"/>
      <c r="I178" s="9"/>
      <c r="J178" s="9"/>
      <c r="K178" s="9"/>
    </row>
    <row r="179" spans="1:11" ht="17.100000000000001" customHeight="1" x14ac:dyDescent="0.25">
      <c r="A179" s="9"/>
      <c r="B179" s="9"/>
      <c r="C179" s="9"/>
      <c r="D179" s="9"/>
      <c r="E179" s="9"/>
      <c r="F179" s="9"/>
      <c r="G179" s="9"/>
      <c r="H179" s="9"/>
      <c r="I179" s="9"/>
      <c r="J179" s="9"/>
      <c r="K179" s="9"/>
    </row>
    <row r="180" spans="1:11" ht="17.100000000000001" customHeight="1" x14ac:dyDescent="0.25">
      <c r="A180" s="9"/>
      <c r="B180" s="9"/>
      <c r="C180" s="9"/>
      <c r="D180" s="9"/>
      <c r="E180" s="9"/>
      <c r="F180" s="9"/>
      <c r="G180" s="9"/>
      <c r="H180" s="9"/>
      <c r="I180" s="9"/>
      <c r="J180" s="9"/>
      <c r="K180" s="9"/>
    </row>
    <row r="181" spans="1:11" ht="17.100000000000001" customHeight="1" x14ac:dyDescent="0.25">
      <c r="A181" s="9"/>
      <c r="B181" s="9"/>
      <c r="C181" s="9"/>
      <c r="D181" s="9"/>
      <c r="E181" s="9"/>
      <c r="F181" s="9"/>
      <c r="G181" s="9"/>
      <c r="H181" s="9"/>
      <c r="I181" s="9"/>
      <c r="J181" s="9"/>
      <c r="K181" s="9"/>
    </row>
    <row r="182" spans="1:11" ht="17.100000000000001" customHeight="1" x14ac:dyDescent="0.25">
      <c r="A182" s="9"/>
      <c r="B182" s="9"/>
      <c r="C182" s="9"/>
      <c r="D182" s="9"/>
      <c r="E182" s="9"/>
      <c r="F182" s="9"/>
      <c r="G182" s="9"/>
      <c r="H182" s="9"/>
      <c r="I182" s="9"/>
      <c r="J182" s="9"/>
      <c r="K182" s="9"/>
    </row>
    <row r="183" spans="1:11" ht="17.100000000000001" customHeight="1" x14ac:dyDescent="0.25">
      <c r="A183" s="9"/>
      <c r="B183" s="9"/>
      <c r="C183" s="9"/>
      <c r="D183" s="9"/>
      <c r="E183" s="9"/>
      <c r="F183" s="9"/>
      <c r="G183" s="9"/>
      <c r="H183" s="9"/>
      <c r="I183" s="9"/>
      <c r="J183" s="9"/>
      <c r="K183" s="9"/>
    </row>
    <row r="184" spans="1:11" ht="17.100000000000001" customHeight="1" x14ac:dyDescent="0.25">
      <c r="A184" s="9"/>
      <c r="B184" s="9"/>
      <c r="C184" s="9"/>
      <c r="D184" s="9"/>
      <c r="E184" s="9"/>
      <c r="F184" s="9"/>
      <c r="G184" s="9"/>
      <c r="H184" s="9"/>
      <c r="I184" s="9"/>
      <c r="J184" s="9"/>
      <c r="K184" s="9"/>
    </row>
    <row r="185" spans="1:11" ht="17.100000000000001" customHeight="1" x14ac:dyDescent="0.25">
      <c r="A185" s="9"/>
      <c r="B185" s="9"/>
      <c r="C185" s="9"/>
      <c r="D185" s="9"/>
      <c r="E185" s="9"/>
      <c r="F185" s="9"/>
      <c r="G185" s="9"/>
      <c r="H185" s="9"/>
      <c r="I185" s="9"/>
      <c r="J185" s="9"/>
      <c r="K185" s="9"/>
    </row>
    <row r="186" spans="1:11" ht="17.100000000000001" customHeight="1" x14ac:dyDescent="0.25">
      <c r="A186" s="9"/>
      <c r="B186" s="9"/>
      <c r="C186" s="9"/>
      <c r="D186" s="9"/>
      <c r="E186" s="9"/>
      <c r="F186" s="9"/>
      <c r="G186" s="9"/>
      <c r="H186" s="9"/>
      <c r="I186" s="9"/>
      <c r="J186" s="9"/>
      <c r="K186" s="9"/>
    </row>
    <row r="187" spans="1:11" ht="17.100000000000001" customHeight="1" x14ac:dyDescent="0.25">
      <c r="A187" s="9"/>
      <c r="B187" s="9"/>
      <c r="C187" s="9"/>
      <c r="D187" s="9"/>
      <c r="E187" s="9"/>
      <c r="F187" s="9"/>
      <c r="G187" s="9"/>
      <c r="H187" s="9"/>
      <c r="I187" s="9"/>
      <c r="J187" s="9"/>
      <c r="K187" s="9"/>
    </row>
    <row r="188" spans="1:11" ht="17.100000000000001" customHeight="1" x14ac:dyDescent="0.25">
      <c r="A188" s="9"/>
      <c r="B188" s="9"/>
      <c r="C188" s="9"/>
      <c r="D188" s="9"/>
      <c r="E188" s="9"/>
      <c r="F188" s="9"/>
      <c r="G188" s="9"/>
      <c r="H188" s="9"/>
      <c r="I188" s="9"/>
      <c r="J188" s="9"/>
      <c r="K188" s="9"/>
    </row>
    <row r="189" spans="1:11" ht="17.100000000000001" customHeight="1" x14ac:dyDescent="0.25">
      <c r="A189" s="9"/>
      <c r="B189" s="9"/>
      <c r="C189" s="9"/>
      <c r="D189" s="9"/>
      <c r="E189" s="9"/>
      <c r="F189" s="9"/>
      <c r="G189" s="9"/>
      <c r="H189" s="9"/>
      <c r="I189" s="9"/>
      <c r="J189" s="9"/>
      <c r="K189" s="9"/>
    </row>
    <row r="190" spans="1:11" ht="17.100000000000001" customHeight="1" x14ac:dyDescent="0.25">
      <c r="A190" s="9"/>
      <c r="B190" s="9"/>
      <c r="C190" s="9"/>
      <c r="D190" s="9"/>
      <c r="E190" s="9"/>
      <c r="F190" s="9"/>
      <c r="G190" s="9"/>
      <c r="H190" s="9"/>
      <c r="I190" s="9"/>
      <c r="J190" s="9"/>
      <c r="K190" s="9"/>
    </row>
    <row r="191" spans="1:11" ht="17.100000000000001" customHeight="1" x14ac:dyDescent="0.25">
      <c r="A191" s="9"/>
      <c r="B191" s="9"/>
      <c r="C191" s="9"/>
      <c r="D191" s="9"/>
      <c r="E191" s="9"/>
      <c r="F191" s="9"/>
      <c r="G191" s="9"/>
      <c r="H191" s="9"/>
      <c r="I191" s="9"/>
      <c r="J191" s="9"/>
      <c r="K191" s="9"/>
    </row>
    <row r="192" spans="1:11" ht="17.100000000000001" customHeight="1" x14ac:dyDescent="0.25">
      <c r="A192" s="9"/>
      <c r="B192" s="9"/>
      <c r="C192" s="9"/>
      <c r="D192" s="9"/>
      <c r="E192" s="9"/>
      <c r="F192" s="9"/>
      <c r="G192" s="9"/>
      <c r="H192" s="9"/>
      <c r="I192" s="9"/>
      <c r="J192" s="9"/>
      <c r="K192" s="9"/>
    </row>
    <row r="193" spans="1:11" ht="17.100000000000001" customHeight="1" x14ac:dyDescent="0.25">
      <c r="A193" s="9"/>
      <c r="B193" s="9"/>
      <c r="C193" s="9"/>
      <c r="D193" s="9"/>
      <c r="E193" s="9"/>
      <c r="F193" s="9"/>
      <c r="G193" s="9"/>
      <c r="H193" s="9"/>
      <c r="I193" s="9"/>
      <c r="J193" s="9"/>
      <c r="K193" s="9"/>
    </row>
    <row r="194" spans="1:11" ht="17.100000000000001" customHeight="1" x14ac:dyDescent="0.25">
      <c r="A194" s="9"/>
      <c r="B194" s="9"/>
      <c r="C194" s="9"/>
      <c r="D194" s="9"/>
      <c r="E194" s="9"/>
      <c r="F194" s="9"/>
      <c r="G194" s="9"/>
      <c r="H194" s="9"/>
      <c r="I194" s="9"/>
      <c r="J194" s="9"/>
      <c r="K194" s="9"/>
    </row>
    <row r="195" spans="1:11" ht="17.100000000000001" customHeight="1" x14ac:dyDescent="0.25">
      <c r="A195" s="9"/>
      <c r="B195" s="9"/>
      <c r="C195" s="9"/>
      <c r="D195" s="9"/>
      <c r="E195" s="9"/>
      <c r="F195" s="9"/>
      <c r="G195" s="9"/>
      <c r="H195" s="9"/>
      <c r="I195" s="9"/>
      <c r="J195" s="9"/>
      <c r="K195" s="9"/>
    </row>
    <row r="196" spans="1:11" ht="17.100000000000001" customHeight="1" x14ac:dyDescent="0.25">
      <c r="A196" s="9"/>
      <c r="B196" s="9"/>
      <c r="C196" s="9"/>
      <c r="D196" s="9"/>
      <c r="E196" s="9"/>
      <c r="F196" s="9"/>
      <c r="G196" s="9"/>
      <c r="H196" s="9"/>
      <c r="I196" s="9"/>
      <c r="J196" s="9"/>
      <c r="K196" s="9"/>
    </row>
    <row r="197" spans="1:11" ht="17.100000000000001" customHeight="1" x14ac:dyDescent="0.25">
      <c r="A197" s="9"/>
      <c r="B197" s="9"/>
      <c r="C197" s="9"/>
      <c r="D197" s="9"/>
      <c r="E197" s="9"/>
      <c r="F197" s="9"/>
      <c r="G197" s="9"/>
      <c r="H197" s="9"/>
      <c r="I197" s="9"/>
      <c r="J197" s="9"/>
      <c r="K197" s="9"/>
    </row>
    <row r="198" spans="1:11" ht="17.100000000000001" customHeight="1" x14ac:dyDescent="0.25">
      <c r="A198" s="9"/>
      <c r="B198" s="9"/>
      <c r="C198" s="9"/>
      <c r="D198" s="9"/>
      <c r="E198" s="9"/>
      <c r="F198" s="9"/>
      <c r="G198" s="9"/>
      <c r="H198" s="9"/>
      <c r="I198" s="9"/>
      <c r="J198" s="9"/>
      <c r="K198" s="9"/>
    </row>
    <row r="199" spans="1:11" ht="17.100000000000001" customHeight="1" x14ac:dyDescent="0.25">
      <c r="A199" s="9"/>
      <c r="B199" s="9"/>
      <c r="C199" s="9"/>
      <c r="D199" s="9"/>
      <c r="E199" s="9"/>
      <c r="F199" s="9"/>
      <c r="G199" s="9"/>
      <c r="H199" s="9"/>
      <c r="I199" s="9"/>
      <c r="J199" s="9"/>
      <c r="K199" s="9"/>
    </row>
    <row r="200" spans="1:11" ht="17.100000000000001" customHeight="1" x14ac:dyDescent="0.25">
      <c r="A200" s="9"/>
      <c r="B200" s="9"/>
      <c r="C200" s="9"/>
      <c r="D200" s="9"/>
      <c r="E200" s="9"/>
      <c r="F200" s="9"/>
      <c r="G200" s="9"/>
      <c r="H200" s="9"/>
      <c r="I200" s="9"/>
      <c r="J200" s="9"/>
      <c r="K200" s="9"/>
    </row>
    <row r="201" spans="1:11" ht="17.100000000000001" customHeight="1" x14ac:dyDescent="0.25">
      <c r="A201" s="9"/>
      <c r="B201" s="9"/>
      <c r="C201" s="9"/>
      <c r="D201" s="9"/>
      <c r="E201" s="9"/>
      <c r="F201" s="9"/>
      <c r="G201" s="9"/>
      <c r="H201" s="9"/>
      <c r="I201" s="9"/>
      <c r="J201" s="9"/>
      <c r="K201" s="9"/>
    </row>
    <row r="202" spans="1:11" ht="17.100000000000001" customHeight="1" x14ac:dyDescent="0.25">
      <c r="A202" s="9"/>
      <c r="B202" s="9"/>
      <c r="C202" s="9"/>
      <c r="D202" s="9"/>
      <c r="E202" s="9"/>
      <c r="F202" s="9"/>
      <c r="G202" s="9"/>
      <c r="H202" s="9"/>
      <c r="I202" s="9"/>
      <c r="J202" s="9"/>
      <c r="K202" s="9"/>
    </row>
    <row r="203" spans="1:11" ht="17.100000000000001" customHeight="1" x14ac:dyDescent="0.25">
      <c r="A203" s="9"/>
      <c r="B203" s="9"/>
      <c r="C203" s="9"/>
      <c r="D203" s="9"/>
      <c r="E203" s="9"/>
      <c r="F203" s="9"/>
      <c r="G203" s="9"/>
      <c r="H203" s="9"/>
      <c r="I203" s="9"/>
      <c r="J203" s="9"/>
      <c r="K203" s="9"/>
    </row>
    <row r="204" spans="1:11" ht="17.100000000000001" customHeight="1" x14ac:dyDescent="0.25">
      <c r="A204" s="9"/>
      <c r="B204" s="9"/>
      <c r="C204" s="9"/>
      <c r="D204" s="9"/>
      <c r="E204" s="9"/>
      <c r="F204" s="9"/>
      <c r="G204" s="9"/>
      <c r="H204" s="9"/>
      <c r="I204" s="9"/>
      <c r="J204" s="9"/>
      <c r="K204" s="9"/>
    </row>
    <row r="205" spans="1:11" ht="17.100000000000001" customHeight="1" x14ac:dyDescent="0.25">
      <c r="A205" s="9"/>
      <c r="B205" s="9"/>
      <c r="C205" s="9"/>
      <c r="D205" s="9"/>
      <c r="E205" s="9"/>
      <c r="F205" s="9"/>
      <c r="G205" s="9"/>
      <c r="H205" s="9"/>
      <c r="I205" s="9"/>
      <c r="J205" s="9"/>
      <c r="K205" s="9"/>
    </row>
    <row r="206" spans="1:11" ht="17.100000000000001" customHeight="1" x14ac:dyDescent="0.25">
      <c r="A206" s="9"/>
      <c r="B206" s="9"/>
      <c r="C206" s="9"/>
      <c r="D206" s="9"/>
      <c r="E206" s="9"/>
      <c r="F206" s="9"/>
      <c r="G206" s="9"/>
      <c r="H206" s="9"/>
      <c r="I206" s="9"/>
      <c r="J206" s="9"/>
      <c r="K206" s="9"/>
    </row>
    <row r="207" spans="1:11" ht="17.100000000000001" customHeight="1" x14ac:dyDescent="0.25">
      <c r="A207" s="9"/>
      <c r="B207" s="9"/>
      <c r="C207" s="9"/>
      <c r="D207" s="9"/>
      <c r="E207" s="9"/>
      <c r="F207" s="9"/>
      <c r="G207" s="9"/>
      <c r="H207" s="9"/>
      <c r="I207" s="9"/>
      <c r="J207" s="9"/>
      <c r="K207" s="9"/>
    </row>
    <row r="208" spans="1:11" ht="17.100000000000001" customHeight="1" x14ac:dyDescent="0.25">
      <c r="A208" s="9"/>
      <c r="B208" s="9"/>
      <c r="C208" s="9"/>
      <c r="D208" s="9"/>
      <c r="E208" s="9"/>
      <c r="F208" s="9"/>
      <c r="G208" s="9"/>
      <c r="H208" s="9"/>
      <c r="I208" s="9"/>
      <c r="J208" s="9"/>
      <c r="K208" s="9"/>
    </row>
    <row r="209" spans="1:11" ht="17.100000000000001" customHeight="1" x14ac:dyDescent="0.25">
      <c r="A209" s="9"/>
      <c r="B209" s="9"/>
      <c r="C209" s="9"/>
      <c r="D209" s="9"/>
      <c r="E209" s="9"/>
      <c r="F209" s="9"/>
      <c r="G209" s="9"/>
      <c r="H209" s="9"/>
      <c r="I209" s="9"/>
      <c r="J209" s="9"/>
      <c r="K209" s="9"/>
    </row>
    <row r="210" spans="1:11" ht="17.100000000000001" customHeight="1" x14ac:dyDescent="0.25">
      <c r="A210" s="9"/>
      <c r="B210" s="9"/>
      <c r="C210" s="9"/>
      <c r="D210" s="9"/>
      <c r="E210" s="9"/>
      <c r="F210" s="9"/>
      <c r="G210" s="9"/>
      <c r="H210" s="9"/>
      <c r="I210" s="9"/>
      <c r="J210" s="9"/>
      <c r="K210" s="9"/>
    </row>
    <row r="211" spans="1:11" ht="17.100000000000001" customHeight="1" x14ac:dyDescent="0.25">
      <c r="A211" s="9"/>
      <c r="B211" s="9"/>
      <c r="C211" s="9"/>
      <c r="D211" s="9"/>
      <c r="E211" s="9"/>
      <c r="F211" s="9"/>
      <c r="G211" s="9"/>
      <c r="H211" s="9"/>
      <c r="I211" s="9"/>
      <c r="J211" s="9"/>
      <c r="K211" s="9"/>
    </row>
    <row r="212" spans="1:11" ht="17.100000000000001" customHeight="1" x14ac:dyDescent="0.25">
      <c r="A212" s="9"/>
      <c r="B212" s="9"/>
      <c r="C212" s="9"/>
      <c r="D212" s="9"/>
      <c r="E212" s="9"/>
      <c r="F212" s="9"/>
      <c r="G212" s="9"/>
      <c r="H212" s="9"/>
      <c r="I212" s="9"/>
      <c r="J212" s="9"/>
      <c r="K212" s="9"/>
    </row>
    <row r="213" spans="1:11" ht="17.100000000000001" customHeight="1" x14ac:dyDescent="0.25">
      <c r="A213" s="9"/>
      <c r="B213" s="9"/>
      <c r="C213" s="9"/>
      <c r="D213" s="9"/>
      <c r="E213" s="9"/>
      <c r="F213" s="9"/>
      <c r="G213" s="9"/>
      <c r="H213" s="9"/>
      <c r="I213" s="9"/>
      <c r="J213" s="9"/>
      <c r="K213" s="9"/>
    </row>
    <row r="214" spans="1:11" ht="17.100000000000001" customHeight="1" x14ac:dyDescent="0.25">
      <c r="A214" s="9"/>
      <c r="B214" s="9"/>
      <c r="C214" s="9"/>
      <c r="D214" s="9"/>
      <c r="E214" s="9"/>
      <c r="F214" s="9"/>
      <c r="G214" s="9"/>
      <c r="H214" s="9"/>
      <c r="I214" s="9"/>
      <c r="J214" s="9"/>
      <c r="K214" s="9"/>
    </row>
    <row r="215" spans="1:11" ht="17.100000000000001" customHeight="1" x14ac:dyDescent="0.25">
      <c r="A215" s="9"/>
      <c r="B215" s="9"/>
      <c r="C215" s="9"/>
      <c r="D215" s="9"/>
      <c r="E215" s="9"/>
      <c r="F215" s="9"/>
      <c r="G215" s="9"/>
      <c r="H215" s="9"/>
      <c r="I215" s="9"/>
      <c r="J215" s="9"/>
      <c r="K215" s="9"/>
    </row>
    <row r="216" spans="1:11" ht="17.100000000000001" customHeight="1" x14ac:dyDescent="0.25">
      <c r="A216" s="9"/>
      <c r="B216" s="9"/>
      <c r="C216" s="9"/>
      <c r="D216" s="9"/>
      <c r="E216" s="9"/>
      <c r="F216" s="9"/>
      <c r="G216" s="9"/>
      <c r="H216" s="9"/>
      <c r="I216" s="9"/>
      <c r="J216" s="9"/>
      <c r="K216" s="9"/>
    </row>
    <row r="217" spans="1:11" ht="17.100000000000001" customHeight="1" x14ac:dyDescent="0.25">
      <c r="A217" s="9"/>
      <c r="B217" s="9"/>
      <c r="C217" s="9"/>
      <c r="D217" s="9"/>
      <c r="E217" s="9"/>
      <c r="F217" s="9"/>
      <c r="G217" s="9"/>
      <c r="H217" s="9"/>
      <c r="I217" s="9"/>
      <c r="J217" s="9"/>
      <c r="K217" s="9"/>
    </row>
    <row r="218" spans="1:11" ht="17.100000000000001" customHeight="1" x14ac:dyDescent="0.25">
      <c r="A218" s="9"/>
      <c r="B218" s="9"/>
      <c r="C218" s="9"/>
      <c r="D218" s="9"/>
      <c r="E218" s="9"/>
      <c r="F218" s="9"/>
      <c r="G218" s="9"/>
      <c r="H218" s="9"/>
      <c r="I218" s="9"/>
      <c r="J218" s="9"/>
      <c r="K218" s="9"/>
    </row>
    <row r="219" spans="1:11" ht="17.100000000000001" customHeight="1" x14ac:dyDescent="0.25">
      <c r="A219" s="9"/>
      <c r="B219" s="9"/>
      <c r="C219" s="9"/>
      <c r="D219" s="9"/>
      <c r="E219" s="9"/>
      <c r="F219" s="9"/>
      <c r="G219" s="9"/>
      <c r="H219" s="9"/>
      <c r="I219" s="9"/>
      <c r="J219" s="9"/>
      <c r="K219" s="9"/>
    </row>
    <row r="220" spans="1:11" ht="17.100000000000001" customHeight="1" x14ac:dyDescent="0.25">
      <c r="A220" s="9"/>
      <c r="B220" s="9"/>
      <c r="C220" s="9"/>
      <c r="D220" s="9"/>
      <c r="E220" s="9"/>
      <c r="F220" s="9"/>
      <c r="G220" s="9"/>
      <c r="H220" s="9"/>
      <c r="I220" s="9"/>
      <c r="J220" s="9"/>
      <c r="K220" s="9"/>
    </row>
    <row r="221" spans="1:11" ht="17.100000000000001" customHeight="1" x14ac:dyDescent="0.25">
      <c r="A221" s="9"/>
      <c r="B221" s="9"/>
      <c r="C221" s="9"/>
      <c r="D221" s="9"/>
      <c r="E221" s="9"/>
      <c r="F221" s="9"/>
      <c r="G221" s="9"/>
      <c r="H221" s="9"/>
      <c r="I221" s="9"/>
      <c r="J221" s="9"/>
      <c r="K221" s="9"/>
    </row>
    <row r="222" spans="1:11" ht="17.100000000000001" customHeight="1" x14ac:dyDescent="0.25">
      <c r="A222" s="9"/>
      <c r="B222" s="9"/>
      <c r="C222" s="9"/>
      <c r="D222" s="9"/>
      <c r="E222" s="9"/>
      <c r="F222" s="9"/>
      <c r="G222" s="9"/>
      <c r="H222" s="9"/>
      <c r="I222" s="9"/>
      <c r="J222" s="9"/>
      <c r="K222" s="9"/>
    </row>
    <row r="223" spans="1:11" ht="17.100000000000001" customHeight="1" x14ac:dyDescent="0.25">
      <c r="A223" s="9"/>
      <c r="B223" s="9"/>
      <c r="C223" s="9"/>
      <c r="D223" s="9"/>
      <c r="E223" s="9"/>
      <c r="F223" s="9"/>
      <c r="G223" s="9"/>
      <c r="H223" s="9"/>
      <c r="I223" s="9"/>
      <c r="J223" s="9"/>
      <c r="K223" s="9"/>
    </row>
    <row r="224" spans="1:11" ht="17.100000000000001" customHeight="1" x14ac:dyDescent="0.25">
      <c r="A224" s="9"/>
      <c r="B224" s="9"/>
      <c r="C224" s="9"/>
      <c r="D224" s="9"/>
      <c r="E224" s="9"/>
      <c r="F224" s="9"/>
      <c r="G224" s="9"/>
      <c r="H224" s="9"/>
      <c r="I224" s="9"/>
      <c r="J224" s="9"/>
      <c r="K224" s="9"/>
    </row>
    <row r="225" spans="1:11" ht="17.100000000000001" customHeight="1" x14ac:dyDescent="0.25">
      <c r="A225" s="9"/>
      <c r="B225" s="9"/>
      <c r="C225" s="9"/>
      <c r="D225" s="9"/>
      <c r="E225" s="9"/>
      <c r="F225" s="9"/>
      <c r="G225" s="9"/>
      <c r="H225" s="9"/>
      <c r="I225" s="9"/>
      <c r="J225" s="9"/>
      <c r="K225" s="9"/>
    </row>
    <row r="226" spans="1:11" ht="17.100000000000001" customHeight="1" x14ac:dyDescent="0.25">
      <c r="A226" s="9"/>
      <c r="B226" s="9"/>
      <c r="C226" s="9"/>
      <c r="D226" s="9"/>
      <c r="E226" s="9"/>
      <c r="F226" s="9"/>
      <c r="G226" s="9"/>
      <c r="H226" s="9"/>
      <c r="I226" s="9"/>
      <c r="J226" s="9"/>
      <c r="K226" s="9"/>
    </row>
    <row r="227" spans="1:11" ht="17.100000000000001" customHeight="1" x14ac:dyDescent="0.25">
      <c r="A227" s="9"/>
      <c r="B227" s="9"/>
      <c r="C227" s="9"/>
      <c r="D227" s="9"/>
      <c r="E227" s="9"/>
      <c r="F227" s="9"/>
      <c r="G227" s="9"/>
      <c r="H227" s="9"/>
      <c r="I227" s="9"/>
      <c r="J227" s="9"/>
      <c r="K227" s="9"/>
    </row>
    <row r="228" spans="1:11" ht="17.100000000000001" customHeight="1" x14ac:dyDescent="0.25">
      <c r="A228" s="9"/>
      <c r="B228" s="9"/>
      <c r="C228" s="9"/>
      <c r="D228" s="9"/>
      <c r="E228" s="9"/>
      <c r="F228" s="9"/>
      <c r="G228" s="9"/>
      <c r="H228" s="9"/>
      <c r="I228" s="9"/>
      <c r="J228" s="9"/>
      <c r="K228" s="9"/>
    </row>
    <row r="229" spans="1:11" ht="17.100000000000001" customHeight="1" x14ac:dyDescent="0.25">
      <c r="A229" s="9"/>
      <c r="B229" s="9"/>
      <c r="C229" s="9"/>
      <c r="D229" s="9"/>
      <c r="E229" s="9"/>
      <c r="F229" s="9"/>
      <c r="G229" s="9"/>
      <c r="H229" s="9"/>
      <c r="I229" s="9"/>
      <c r="J229" s="9"/>
      <c r="K229" s="9"/>
    </row>
    <row r="230" spans="1:11" ht="17.100000000000001" customHeight="1" x14ac:dyDescent="0.25">
      <c r="A230" s="9"/>
      <c r="B230" s="9"/>
      <c r="C230" s="9"/>
      <c r="D230" s="9"/>
      <c r="E230" s="9"/>
      <c r="F230" s="9"/>
      <c r="G230" s="9"/>
      <c r="H230" s="9"/>
      <c r="I230" s="9"/>
      <c r="J230" s="9"/>
      <c r="K230" s="9"/>
    </row>
    <row r="231" spans="1:11" ht="17.100000000000001" customHeight="1" x14ac:dyDescent="0.25">
      <c r="A231" s="9"/>
      <c r="B231" s="9"/>
      <c r="C231" s="9"/>
      <c r="D231" s="9"/>
      <c r="E231" s="9"/>
      <c r="F231" s="9"/>
      <c r="G231" s="9"/>
      <c r="H231" s="9"/>
      <c r="I231" s="9"/>
      <c r="J231" s="9"/>
      <c r="K231" s="9"/>
    </row>
    <row r="232" spans="1:11" ht="17.100000000000001" customHeight="1" x14ac:dyDescent="0.25">
      <c r="A232" s="9"/>
      <c r="B232" s="9"/>
      <c r="C232" s="9"/>
      <c r="D232" s="9"/>
      <c r="E232" s="9"/>
      <c r="F232" s="9"/>
      <c r="G232" s="9"/>
      <c r="H232" s="9"/>
      <c r="I232" s="9"/>
      <c r="J232" s="9"/>
      <c r="K232" s="9"/>
    </row>
    <row r="233" spans="1:11" ht="17.100000000000001" customHeight="1" x14ac:dyDescent="0.25">
      <c r="A233" s="9"/>
      <c r="B233" s="9"/>
      <c r="C233" s="9"/>
      <c r="D233" s="9"/>
      <c r="E233" s="9"/>
      <c r="F233" s="9"/>
      <c r="G233" s="9"/>
      <c r="H233" s="9"/>
      <c r="I233" s="9"/>
      <c r="J233" s="9"/>
      <c r="K233" s="9"/>
    </row>
    <row r="234" spans="1:11" ht="17.100000000000001" customHeight="1" x14ac:dyDescent="0.25">
      <c r="A234" s="9"/>
      <c r="B234" s="9"/>
      <c r="C234" s="9"/>
      <c r="D234" s="9"/>
      <c r="E234" s="9"/>
      <c r="F234" s="9"/>
      <c r="G234" s="9"/>
      <c r="H234" s="9"/>
      <c r="I234" s="9"/>
      <c r="J234" s="9"/>
      <c r="K234" s="9"/>
    </row>
    <row r="235" spans="1:11" ht="17.100000000000001" customHeight="1" x14ac:dyDescent="0.25">
      <c r="A235" s="9"/>
      <c r="B235" s="9"/>
      <c r="C235" s="9"/>
      <c r="D235" s="9"/>
      <c r="E235" s="9"/>
      <c r="F235" s="9"/>
      <c r="G235" s="9"/>
      <c r="H235" s="9"/>
      <c r="I235" s="9"/>
      <c r="J235" s="9"/>
      <c r="K235" s="9"/>
    </row>
    <row r="236" spans="1:11" ht="17.100000000000001" customHeight="1" x14ac:dyDescent="0.25">
      <c r="A236" s="9"/>
      <c r="B236" s="9"/>
      <c r="C236" s="9"/>
      <c r="D236" s="9"/>
      <c r="E236" s="9"/>
      <c r="F236" s="9"/>
      <c r="G236" s="9"/>
      <c r="H236" s="9"/>
      <c r="I236" s="9"/>
      <c r="J236" s="9"/>
      <c r="K236" s="9"/>
    </row>
    <row r="237" spans="1:11" ht="17.100000000000001" customHeight="1" x14ac:dyDescent="0.25">
      <c r="A237" s="9"/>
      <c r="B237" s="9"/>
      <c r="C237" s="9"/>
      <c r="D237" s="9"/>
      <c r="E237" s="9"/>
      <c r="F237" s="9"/>
      <c r="G237" s="9"/>
      <c r="H237" s="9"/>
      <c r="I237" s="9"/>
      <c r="J237" s="9"/>
      <c r="K237" s="9"/>
    </row>
    <row r="238" spans="1:11" ht="17.100000000000001" customHeight="1" x14ac:dyDescent="0.25">
      <c r="A238" s="9"/>
      <c r="B238" s="9"/>
      <c r="C238" s="9"/>
      <c r="D238" s="9"/>
      <c r="E238" s="9"/>
      <c r="F238" s="9"/>
      <c r="G238" s="9"/>
      <c r="H238" s="9"/>
      <c r="I238" s="9"/>
      <c r="J238" s="9"/>
      <c r="K238" s="9"/>
    </row>
    <row r="239" spans="1:11" ht="17.100000000000001" customHeight="1" x14ac:dyDescent="0.25">
      <c r="A239" s="9"/>
      <c r="B239" s="9"/>
      <c r="C239" s="9"/>
      <c r="D239" s="9"/>
      <c r="E239" s="9"/>
      <c r="F239" s="9"/>
      <c r="G239" s="9"/>
      <c r="H239" s="9"/>
      <c r="I239" s="9"/>
      <c r="J239" s="9"/>
      <c r="K239" s="9"/>
    </row>
    <row r="240" spans="1:11" ht="17.100000000000001" customHeight="1" x14ac:dyDescent="0.25">
      <c r="A240" s="9"/>
      <c r="B240" s="9"/>
      <c r="C240" s="9"/>
      <c r="D240" s="9"/>
      <c r="E240" s="9"/>
      <c r="F240" s="9"/>
      <c r="G240" s="9"/>
      <c r="H240" s="9"/>
      <c r="I240" s="9"/>
      <c r="J240" s="9"/>
      <c r="K240" s="9"/>
    </row>
    <row r="241" spans="1:11" ht="17.100000000000001" customHeight="1" x14ac:dyDescent="0.25">
      <c r="A241" s="9"/>
      <c r="B241" s="9"/>
      <c r="C241" s="9"/>
      <c r="D241" s="9"/>
      <c r="E241" s="9"/>
      <c r="F241" s="9"/>
      <c r="G241" s="9"/>
      <c r="H241" s="9"/>
      <c r="I241" s="9"/>
      <c r="J241" s="9"/>
      <c r="K241" s="9"/>
    </row>
    <row r="242" spans="1:11" ht="17.100000000000001" customHeight="1" x14ac:dyDescent="0.25">
      <c r="A242" s="9"/>
      <c r="B242" s="9"/>
      <c r="C242" s="9"/>
      <c r="D242" s="9"/>
      <c r="E242" s="9"/>
      <c r="F242" s="9"/>
      <c r="G242" s="9"/>
      <c r="H242" s="9"/>
      <c r="I242" s="9"/>
      <c r="J242" s="9"/>
      <c r="K242" s="9"/>
    </row>
    <row r="243" spans="1:11" ht="17.100000000000001" customHeight="1" x14ac:dyDescent="0.25">
      <c r="A243" s="9"/>
      <c r="B243" s="9"/>
      <c r="C243" s="9"/>
      <c r="D243" s="9"/>
      <c r="E243" s="9"/>
      <c r="F243" s="9"/>
      <c r="G243" s="9"/>
      <c r="H243" s="9"/>
      <c r="I243" s="9"/>
      <c r="J243" s="9"/>
      <c r="K243" s="9"/>
    </row>
    <row r="244" spans="1:11" ht="17.100000000000001" customHeight="1" x14ac:dyDescent="0.25">
      <c r="A244" s="9"/>
      <c r="B244" s="9"/>
      <c r="C244" s="9"/>
      <c r="D244" s="9"/>
      <c r="E244" s="9"/>
      <c r="F244" s="9"/>
      <c r="G244" s="9"/>
      <c r="H244" s="9"/>
      <c r="I244" s="9"/>
      <c r="J244" s="9"/>
      <c r="K244" s="9"/>
    </row>
    <row r="245" spans="1:11" ht="17.100000000000001" customHeight="1" x14ac:dyDescent="0.25">
      <c r="A245" s="9"/>
      <c r="B245" s="9"/>
      <c r="C245" s="9"/>
      <c r="D245" s="9"/>
      <c r="E245" s="9"/>
      <c r="F245" s="9"/>
      <c r="G245" s="9"/>
      <c r="H245" s="9"/>
      <c r="I245" s="9"/>
      <c r="J245" s="9"/>
      <c r="K245" s="9"/>
    </row>
    <row r="246" spans="1:11" ht="17.100000000000001" customHeight="1" x14ac:dyDescent="0.25">
      <c r="A246" s="9"/>
      <c r="B246" s="9"/>
      <c r="C246" s="9"/>
      <c r="D246" s="9"/>
      <c r="E246" s="9"/>
      <c r="F246" s="9"/>
      <c r="G246" s="9"/>
      <c r="H246" s="9"/>
      <c r="I246" s="9"/>
      <c r="J246" s="9"/>
      <c r="K246" s="9"/>
    </row>
    <row r="247" spans="1:11" ht="17.100000000000001" customHeight="1" x14ac:dyDescent="0.25">
      <c r="A247" s="9"/>
      <c r="B247" s="9"/>
      <c r="C247" s="9"/>
      <c r="D247" s="9"/>
      <c r="E247" s="9"/>
      <c r="F247" s="9"/>
      <c r="G247" s="9"/>
      <c r="H247" s="9"/>
      <c r="I247" s="9"/>
      <c r="J247" s="9"/>
      <c r="K247" s="9"/>
    </row>
    <row r="248" spans="1:11" ht="17.100000000000001" customHeight="1" x14ac:dyDescent="0.25">
      <c r="A248" s="9"/>
      <c r="B248" s="9"/>
      <c r="C248" s="9"/>
      <c r="D248" s="9"/>
      <c r="E248" s="9"/>
      <c r="F248" s="9"/>
      <c r="G248" s="9"/>
      <c r="H248" s="9"/>
      <c r="I248" s="9"/>
      <c r="J248" s="9"/>
      <c r="K248" s="9"/>
    </row>
    <row r="249" spans="1:11" ht="17.100000000000001" customHeight="1" x14ac:dyDescent="0.25">
      <c r="A249" s="9"/>
      <c r="B249" s="9"/>
      <c r="C249" s="9"/>
      <c r="D249" s="9"/>
      <c r="E249" s="9"/>
      <c r="F249" s="9"/>
      <c r="G249" s="9"/>
      <c r="H249" s="9"/>
      <c r="I249" s="9"/>
      <c r="J249" s="9"/>
      <c r="K249" s="9"/>
    </row>
    <row r="250" spans="1:11" ht="17.100000000000001" customHeight="1" x14ac:dyDescent="0.25">
      <c r="A250" s="9"/>
      <c r="B250" s="9"/>
      <c r="C250" s="9"/>
      <c r="D250" s="9"/>
      <c r="E250" s="9"/>
      <c r="F250" s="9"/>
      <c r="G250" s="9"/>
      <c r="H250" s="9"/>
      <c r="I250" s="9"/>
      <c r="J250" s="9"/>
      <c r="K250" s="9"/>
    </row>
    <row r="251" spans="1:11" ht="17.100000000000001" customHeight="1" x14ac:dyDescent="0.25">
      <c r="A251" s="9"/>
      <c r="B251" s="9"/>
      <c r="C251" s="9"/>
      <c r="D251" s="9"/>
      <c r="E251" s="9"/>
      <c r="F251" s="9"/>
      <c r="G251" s="9"/>
      <c r="H251" s="9"/>
      <c r="I251" s="9"/>
      <c r="J251" s="9"/>
      <c r="K251" s="9"/>
    </row>
    <row r="252" spans="1:11" ht="17.100000000000001" customHeight="1" x14ac:dyDescent="0.25">
      <c r="A252" s="9"/>
      <c r="B252" s="9"/>
      <c r="C252" s="9"/>
      <c r="D252" s="9"/>
      <c r="E252" s="9"/>
      <c r="F252" s="9"/>
      <c r="G252" s="9"/>
      <c r="H252" s="9"/>
      <c r="I252" s="9"/>
      <c r="J252" s="9"/>
      <c r="K252" s="9"/>
    </row>
    <row r="253" spans="1:11" ht="17.100000000000001" customHeight="1" x14ac:dyDescent="0.25">
      <c r="A253" s="9"/>
      <c r="B253" s="9"/>
      <c r="C253" s="9"/>
      <c r="D253" s="9"/>
      <c r="E253" s="9"/>
      <c r="F253" s="9"/>
      <c r="G253" s="9"/>
      <c r="H253" s="9"/>
      <c r="I253" s="9"/>
      <c r="J253" s="9"/>
      <c r="K253" s="9"/>
    </row>
    <row r="254" spans="1:11" ht="17.100000000000001" customHeight="1" x14ac:dyDescent="0.25">
      <c r="A254" s="9"/>
      <c r="B254" s="9"/>
      <c r="C254" s="9"/>
      <c r="D254" s="9"/>
      <c r="E254" s="9"/>
      <c r="F254" s="9"/>
      <c r="G254" s="9"/>
      <c r="H254" s="9"/>
      <c r="I254" s="9"/>
      <c r="J254" s="9"/>
      <c r="K254" s="9"/>
    </row>
    <row r="255" spans="1:11" ht="17.100000000000001" customHeight="1" x14ac:dyDescent="0.25">
      <c r="A255" s="9"/>
      <c r="B255" s="9"/>
      <c r="C255" s="9"/>
      <c r="D255" s="9"/>
      <c r="E255" s="9"/>
      <c r="F255" s="9"/>
      <c r="G255" s="9"/>
      <c r="H255" s="9"/>
      <c r="I255" s="9"/>
      <c r="J255" s="9"/>
      <c r="K255" s="9"/>
    </row>
    <row r="256" spans="1:11" ht="17.100000000000001" customHeight="1" x14ac:dyDescent="0.25">
      <c r="A256" s="9"/>
      <c r="B256" s="9"/>
      <c r="C256" s="9"/>
      <c r="D256" s="9"/>
      <c r="E256" s="9"/>
      <c r="F256" s="9"/>
      <c r="G256" s="9"/>
      <c r="H256" s="9"/>
      <c r="I256" s="9"/>
      <c r="J256" s="9"/>
      <c r="K256" s="9"/>
    </row>
    <row r="257" spans="1:11" ht="17.100000000000001" customHeight="1" x14ac:dyDescent="0.25">
      <c r="A257" s="9"/>
      <c r="B257" s="9"/>
      <c r="C257" s="9"/>
      <c r="D257" s="9"/>
      <c r="E257" s="9"/>
      <c r="F257" s="9"/>
      <c r="G257" s="9"/>
      <c r="H257" s="9"/>
      <c r="I257" s="9"/>
      <c r="J257" s="9"/>
      <c r="K257" s="9"/>
    </row>
    <row r="258" spans="1:11" ht="17.100000000000001" customHeight="1" x14ac:dyDescent="0.25">
      <c r="A258" s="9"/>
      <c r="B258" s="9"/>
      <c r="C258" s="9"/>
      <c r="D258" s="9"/>
      <c r="E258" s="9"/>
      <c r="F258" s="9"/>
      <c r="G258" s="9"/>
      <c r="H258" s="9"/>
      <c r="I258" s="9"/>
      <c r="J258" s="9"/>
      <c r="K258" s="9"/>
    </row>
    <row r="259" spans="1:11" ht="17.100000000000001" customHeight="1" x14ac:dyDescent="0.25">
      <c r="A259" s="9"/>
      <c r="B259" s="9"/>
      <c r="C259" s="9"/>
      <c r="D259" s="9"/>
      <c r="E259" s="9"/>
      <c r="F259" s="9"/>
      <c r="G259" s="9"/>
      <c r="H259" s="9"/>
      <c r="I259" s="9"/>
      <c r="J259" s="9"/>
      <c r="K259" s="9"/>
    </row>
    <row r="260" spans="1:11" ht="17.100000000000001" customHeight="1" x14ac:dyDescent="0.25">
      <c r="A260" s="9"/>
      <c r="B260" s="9"/>
      <c r="C260" s="9"/>
      <c r="D260" s="9"/>
      <c r="E260" s="9"/>
      <c r="F260" s="9"/>
      <c r="G260" s="9"/>
      <c r="H260" s="9"/>
      <c r="I260" s="9"/>
      <c r="J260" s="9"/>
      <c r="K260" s="9"/>
    </row>
    <row r="261" spans="1:11" ht="17.100000000000001" customHeight="1" x14ac:dyDescent="0.25">
      <c r="A261" s="9"/>
      <c r="B261" s="9"/>
      <c r="C261" s="9"/>
      <c r="D261" s="9"/>
      <c r="E261" s="9"/>
      <c r="F261" s="9"/>
      <c r="G261" s="9"/>
      <c r="H261" s="9"/>
      <c r="I261" s="9"/>
      <c r="J261" s="9"/>
      <c r="K261" s="9"/>
    </row>
    <row r="262" spans="1:11" ht="17.100000000000001" customHeight="1" x14ac:dyDescent="0.25">
      <c r="A262" s="9"/>
      <c r="B262" s="9"/>
      <c r="C262" s="9"/>
      <c r="D262" s="9"/>
      <c r="E262" s="9"/>
      <c r="F262" s="9"/>
      <c r="G262" s="9"/>
      <c r="H262" s="9"/>
      <c r="I262" s="9"/>
      <c r="J262" s="9"/>
      <c r="K262" s="9"/>
    </row>
    <row r="263" spans="1:11" ht="17.100000000000001" customHeight="1" x14ac:dyDescent="0.25">
      <c r="A263" s="9"/>
      <c r="B263" s="9"/>
      <c r="C263" s="9"/>
      <c r="D263" s="9"/>
      <c r="E263" s="9"/>
      <c r="F263" s="9"/>
      <c r="G263" s="9"/>
      <c r="H263" s="9"/>
      <c r="I263" s="9"/>
      <c r="J263" s="9"/>
      <c r="K263" s="9"/>
    </row>
    <row r="264" spans="1:11" ht="17.100000000000001" customHeight="1" x14ac:dyDescent="0.25">
      <c r="A264" s="9"/>
      <c r="B264" s="9"/>
      <c r="C264" s="9"/>
      <c r="D264" s="9"/>
      <c r="E264" s="9"/>
      <c r="F264" s="9"/>
      <c r="G264" s="9"/>
      <c r="H264" s="9"/>
      <c r="I264" s="9"/>
      <c r="J264" s="9"/>
      <c r="K264" s="9"/>
    </row>
    <row r="265" spans="1:11" ht="17.100000000000001" customHeight="1" x14ac:dyDescent="0.25">
      <c r="A265" s="9"/>
      <c r="B265" s="9"/>
      <c r="C265" s="9"/>
      <c r="D265" s="9"/>
      <c r="E265" s="9"/>
      <c r="F265" s="9"/>
      <c r="G265" s="9"/>
      <c r="H265" s="9"/>
      <c r="I265" s="9"/>
      <c r="J265" s="9"/>
      <c r="K265" s="9"/>
    </row>
    <row r="266" spans="1:11" ht="17.100000000000001" customHeight="1" x14ac:dyDescent="0.25">
      <c r="A266" s="9"/>
      <c r="B266" s="9"/>
      <c r="C266" s="9"/>
      <c r="D266" s="9"/>
      <c r="E266" s="9"/>
      <c r="F266" s="9"/>
      <c r="G266" s="9"/>
      <c r="H266" s="9"/>
      <c r="I266" s="9"/>
      <c r="J266" s="9"/>
      <c r="K266" s="9"/>
    </row>
    <row r="267" spans="1:11" ht="17.100000000000001" customHeight="1" x14ac:dyDescent="0.25">
      <c r="A267" s="9"/>
      <c r="B267" s="9"/>
      <c r="C267" s="9"/>
      <c r="D267" s="9"/>
      <c r="E267" s="9"/>
      <c r="F267" s="9"/>
      <c r="G267" s="9"/>
      <c r="H267" s="9"/>
      <c r="I267" s="9"/>
      <c r="J267" s="9"/>
      <c r="K267" s="9"/>
    </row>
    <row r="268" spans="1:11" ht="17.100000000000001" customHeight="1" x14ac:dyDescent="0.25">
      <c r="A268" s="9"/>
      <c r="B268" s="9"/>
      <c r="C268" s="9"/>
      <c r="D268" s="9"/>
      <c r="E268" s="9"/>
      <c r="F268" s="9"/>
      <c r="G268" s="9"/>
      <c r="H268" s="9"/>
      <c r="I268" s="9"/>
      <c r="J268" s="9"/>
      <c r="K268" s="9"/>
    </row>
    <row r="269" spans="1:11" ht="17.100000000000001" customHeight="1" x14ac:dyDescent="0.25">
      <c r="A269" s="9"/>
      <c r="B269" s="9"/>
      <c r="C269" s="9"/>
      <c r="D269" s="9"/>
      <c r="E269" s="9"/>
      <c r="F269" s="9"/>
      <c r="G269" s="9"/>
      <c r="H269" s="9"/>
      <c r="I269" s="9"/>
      <c r="J269" s="9"/>
      <c r="K269" s="9"/>
    </row>
    <row r="270" spans="1:11" ht="17.100000000000001" customHeight="1" x14ac:dyDescent="0.25">
      <c r="A270" s="9"/>
      <c r="B270" s="9"/>
      <c r="C270" s="9"/>
      <c r="D270" s="9"/>
      <c r="E270" s="9"/>
      <c r="F270" s="9"/>
      <c r="G270" s="9"/>
      <c r="H270" s="9"/>
      <c r="I270" s="9"/>
      <c r="J270" s="9"/>
      <c r="K270" s="9"/>
    </row>
    <row r="271" spans="1:11" ht="17.100000000000001" customHeight="1" x14ac:dyDescent="0.25">
      <c r="A271" s="9"/>
      <c r="B271" s="9"/>
      <c r="C271" s="9"/>
      <c r="D271" s="9"/>
      <c r="E271" s="9"/>
      <c r="F271" s="9"/>
      <c r="G271" s="9"/>
      <c r="H271" s="9"/>
      <c r="I271" s="9"/>
      <c r="J271" s="9"/>
      <c r="K271" s="9"/>
    </row>
    <row r="272" spans="1:11" ht="17.100000000000001" customHeight="1" x14ac:dyDescent="0.25">
      <c r="A272" s="9"/>
      <c r="B272" s="9"/>
      <c r="C272" s="9"/>
      <c r="D272" s="9"/>
      <c r="E272" s="9"/>
      <c r="F272" s="9"/>
      <c r="G272" s="9"/>
      <c r="H272" s="9"/>
      <c r="I272" s="9"/>
      <c r="J272" s="9"/>
      <c r="K272" s="9"/>
    </row>
    <row r="273" spans="1:11" ht="17.100000000000001" customHeight="1" x14ac:dyDescent="0.25">
      <c r="A273" s="9"/>
      <c r="B273" s="9"/>
      <c r="C273" s="9"/>
      <c r="D273" s="9"/>
      <c r="E273" s="9"/>
      <c r="F273" s="9"/>
      <c r="G273" s="9"/>
      <c r="H273" s="9"/>
      <c r="I273" s="9"/>
      <c r="J273" s="9"/>
      <c r="K273" s="9"/>
    </row>
    <row r="274" spans="1:11" ht="17.100000000000001" customHeight="1" x14ac:dyDescent="0.25">
      <c r="A274" s="9"/>
      <c r="B274" s="9"/>
      <c r="C274" s="9"/>
      <c r="D274" s="9"/>
      <c r="E274" s="9"/>
      <c r="F274" s="9"/>
      <c r="G274" s="9"/>
      <c r="H274" s="9"/>
      <c r="I274" s="9"/>
      <c r="J274" s="9"/>
      <c r="K274" s="9"/>
    </row>
    <row r="275" spans="1:11" ht="17.100000000000001" customHeight="1" x14ac:dyDescent="0.25">
      <c r="A275" s="9"/>
      <c r="B275" s="9"/>
      <c r="C275" s="9"/>
      <c r="D275" s="9"/>
      <c r="E275" s="9"/>
      <c r="F275" s="9"/>
      <c r="G275" s="9"/>
      <c r="H275" s="9"/>
      <c r="I275" s="9"/>
      <c r="J275" s="9"/>
      <c r="K275" s="9"/>
    </row>
    <row r="276" spans="1:11" ht="17.100000000000001" customHeight="1" x14ac:dyDescent="0.25">
      <c r="A276" s="9"/>
      <c r="B276" s="9"/>
      <c r="C276" s="9"/>
      <c r="D276" s="9"/>
      <c r="E276" s="9"/>
      <c r="F276" s="9"/>
      <c r="G276" s="9"/>
      <c r="H276" s="9"/>
      <c r="I276" s="9"/>
      <c r="J276" s="9"/>
      <c r="K276" s="9"/>
    </row>
    <row r="277" spans="1:11" ht="17.100000000000001" customHeight="1" x14ac:dyDescent="0.25"/>
    <row r="278" spans="1:11" ht="17.100000000000001" customHeight="1" x14ac:dyDescent="0.25"/>
    <row r="279" spans="1:11" ht="17.100000000000001" customHeight="1" x14ac:dyDescent="0.25"/>
    <row r="280" spans="1:11" ht="17.100000000000001" customHeight="1" x14ac:dyDescent="0.25"/>
    <row r="281" spans="1:11" ht="17.100000000000001" customHeight="1" x14ac:dyDescent="0.25"/>
    <row r="282" spans="1:11" ht="17.100000000000001" customHeight="1" x14ac:dyDescent="0.25"/>
    <row r="283" spans="1:11" ht="17.100000000000001" customHeight="1" x14ac:dyDescent="0.25"/>
    <row r="284" spans="1:11" ht="17.100000000000001" customHeight="1" x14ac:dyDescent="0.25"/>
    <row r="285" spans="1:11" ht="17.100000000000001" customHeight="1" x14ac:dyDescent="0.25"/>
    <row r="286" spans="1:11" ht="17.100000000000001" customHeight="1" x14ac:dyDescent="0.25"/>
    <row r="287" spans="1:11" ht="17.100000000000001" customHeight="1" x14ac:dyDescent="0.25"/>
    <row r="288" spans="1:11" ht="17.100000000000001" customHeight="1" x14ac:dyDescent="0.25"/>
    <row r="289" ht="17.100000000000001" customHeight="1" x14ac:dyDescent="0.25"/>
    <row r="290" ht="17.100000000000001" customHeight="1" x14ac:dyDescent="0.25"/>
    <row r="291" ht="17.100000000000001" customHeight="1" x14ac:dyDescent="0.25"/>
    <row r="292" ht="17.100000000000001" customHeight="1" x14ac:dyDescent="0.25"/>
    <row r="293" ht="17.100000000000001" customHeight="1" x14ac:dyDescent="0.25"/>
    <row r="294" ht="17.100000000000001" customHeight="1" x14ac:dyDescent="0.25"/>
    <row r="295" ht="17.100000000000001" customHeight="1" x14ac:dyDescent="0.25"/>
    <row r="296" ht="17.100000000000001" customHeight="1" x14ac:dyDescent="0.25"/>
    <row r="297" ht="17.100000000000001" customHeight="1" x14ac:dyDescent="0.25"/>
    <row r="298" ht="17.100000000000001" customHeight="1" x14ac:dyDescent="0.25"/>
    <row r="299" ht="17.100000000000001" customHeight="1" x14ac:dyDescent="0.25"/>
    <row r="300" ht="17.100000000000001" customHeight="1" x14ac:dyDescent="0.25"/>
    <row r="301" ht="17.100000000000001" customHeight="1" x14ac:dyDescent="0.25"/>
    <row r="302" ht="17.100000000000001" customHeight="1" x14ac:dyDescent="0.25"/>
    <row r="303" ht="17.100000000000001" customHeight="1" x14ac:dyDescent="0.25"/>
    <row r="304" ht="17.100000000000001" customHeight="1" x14ac:dyDescent="0.25"/>
    <row r="305" ht="17.100000000000001" customHeight="1" x14ac:dyDescent="0.25"/>
    <row r="306" ht="17.100000000000001" customHeight="1" x14ac:dyDescent="0.25"/>
    <row r="307" ht="17.100000000000001" customHeight="1" x14ac:dyDescent="0.25"/>
    <row r="308" ht="17.100000000000001" customHeight="1" x14ac:dyDescent="0.25"/>
    <row r="309" ht="17.100000000000001" customHeight="1" x14ac:dyDescent="0.25"/>
    <row r="310" ht="17.100000000000001" customHeight="1" x14ac:dyDescent="0.25"/>
    <row r="311" ht="17.100000000000001" customHeight="1" x14ac:dyDescent="0.25"/>
    <row r="312" ht="17.100000000000001" customHeight="1" x14ac:dyDescent="0.25"/>
    <row r="313" ht="17.100000000000001" customHeight="1" x14ac:dyDescent="0.25"/>
    <row r="314" ht="17.100000000000001" customHeight="1" x14ac:dyDescent="0.25"/>
    <row r="315" ht="17.100000000000001" customHeight="1" x14ac:dyDescent="0.25"/>
    <row r="316" ht="17.100000000000001" customHeight="1" x14ac:dyDescent="0.25"/>
    <row r="317" ht="17.100000000000001" customHeight="1" x14ac:dyDescent="0.25"/>
    <row r="318" ht="17.100000000000001" customHeight="1" x14ac:dyDescent="0.25"/>
    <row r="319" ht="17.100000000000001" customHeight="1" x14ac:dyDescent="0.25"/>
    <row r="320" ht="17.100000000000001" customHeight="1" x14ac:dyDescent="0.25"/>
    <row r="321" ht="17.100000000000001" customHeight="1" x14ac:dyDescent="0.25"/>
    <row r="322" ht="17.100000000000001" customHeight="1" x14ac:dyDescent="0.25"/>
    <row r="323" ht="17.100000000000001" customHeight="1" x14ac:dyDescent="0.25"/>
    <row r="324" ht="17.100000000000001" customHeight="1" x14ac:dyDescent="0.25"/>
    <row r="325" ht="17.100000000000001" customHeight="1" x14ac:dyDescent="0.25"/>
    <row r="326" ht="17.100000000000001" customHeight="1" x14ac:dyDescent="0.25"/>
    <row r="327" ht="17.100000000000001" customHeight="1" x14ac:dyDescent="0.25"/>
    <row r="328" ht="17.100000000000001" customHeight="1" x14ac:dyDescent="0.25"/>
    <row r="329" ht="17.100000000000001" customHeight="1" x14ac:dyDescent="0.25"/>
    <row r="330" ht="17.100000000000001" customHeight="1" x14ac:dyDescent="0.25"/>
    <row r="331" ht="17.100000000000001" customHeight="1" x14ac:dyDescent="0.25"/>
    <row r="332" ht="17.100000000000001" customHeight="1" x14ac:dyDescent="0.25"/>
    <row r="333" ht="17.100000000000001" customHeight="1" x14ac:dyDescent="0.25"/>
    <row r="334" ht="17.100000000000001" customHeight="1" x14ac:dyDescent="0.25"/>
    <row r="335" ht="17.100000000000001" customHeight="1" x14ac:dyDescent="0.25"/>
    <row r="336" ht="17.100000000000001" customHeight="1" x14ac:dyDescent="0.25"/>
    <row r="337" ht="17.100000000000001" customHeight="1" x14ac:dyDescent="0.25"/>
    <row r="338" ht="17.100000000000001" customHeight="1" x14ac:dyDescent="0.25"/>
    <row r="339" ht="17.100000000000001" customHeight="1" x14ac:dyDescent="0.25"/>
    <row r="340" ht="17.100000000000001" customHeight="1" x14ac:dyDescent="0.25"/>
    <row r="341" ht="17.100000000000001" customHeight="1" x14ac:dyDescent="0.25"/>
    <row r="342" ht="17.100000000000001" customHeight="1" x14ac:dyDescent="0.25"/>
    <row r="343" ht="17.100000000000001" customHeight="1" x14ac:dyDescent="0.25"/>
    <row r="344" ht="17.100000000000001" customHeight="1" x14ac:dyDescent="0.25"/>
    <row r="345" ht="17.100000000000001" customHeight="1" x14ac:dyDescent="0.25"/>
    <row r="346" ht="17.100000000000001" customHeight="1" x14ac:dyDescent="0.25"/>
    <row r="347" ht="17.100000000000001" customHeight="1" x14ac:dyDescent="0.25"/>
    <row r="348" ht="17.100000000000001" customHeight="1" x14ac:dyDescent="0.25"/>
    <row r="349" ht="17.100000000000001" customHeight="1" x14ac:dyDescent="0.25"/>
    <row r="350" ht="17.100000000000001" customHeight="1" x14ac:dyDescent="0.25"/>
    <row r="351" ht="17.100000000000001" customHeight="1" x14ac:dyDescent="0.25"/>
    <row r="352" ht="17.100000000000001" customHeight="1" x14ac:dyDescent="0.25"/>
    <row r="353" ht="17.100000000000001" customHeight="1" x14ac:dyDescent="0.25"/>
    <row r="354" ht="17.100000000000001" customHeight="1" x14ac:dyDescent="0.25"/>
    <row r="355" ht="17.100000000000001" customHeight="1" x14ac:dyDescent="0.25"/>
    <row r="356" ht="17.100000000000001" customHeight="1" x14ac:dyDescent="0.25"/>
    <row r="357" ht="17.100000000000001" customHeight="1" x14ac:dyDescent="0.25"/>
    <row r="358" ht="17.100000000000001" customHeight="1" x14ac:dyDescent="0.25"/>
    <row r="359" ht="17.100000000000001" customHeight="1" x14ac:dyDescent="0.25"/>
    <row r="360" ht="17.100000000000001" customHeight="1" x14ac:dyDescent="0.25"/>
    <row r="361" ht="17.100000000000001" customHeight="1" x14ac:dyDescent="0.25"/>
    <row r="362" ht="17.100000000000001" customHeight="1" x14ac:dyDescent="0.25"/>
    <row r="363" ht="17.100000000000001" customHeight="1" x14ac:dyDescent="0.25"/>
    <row r="364" ht="17.100000000000001" customHeight="1" x14ac:dyDescent="0.25"/>
    <row r="365" ht="17.100000000000001" customHeight="1" x14ac:dyDescent="0.25"/>
    <row r="366" ht="17.100000000000001" customHeight="1" x14ac:dyDescent="0.25"/>
    <row r="367" ht="17.100000000000001" customHeight="1" x14ac:dyDescent="0.25"/>
    <row r="368" ht="17.100000000000001" customHeight="1" x14ac:dyDescent="0.25"/>
    <row r="369" ht="17.100000000000001" customHeight="1" x14ac:dyDescent="0.25"/>
    <row r="370" ht="17.100000000000001" customHeight="1" x14ac:dyDescent="0.25"/>
    <row r="371" ht="17.100000000000001" customHeight="1" x14ac:dyDescent="0.25"/>
    <row r="372" ht="17.100000000000001" customHeight="1" x14ac:dyDescent="0.25"/>
    <row r="373" ht="17.100000000000001" customHeight="1" x14ac:dyDescent="0.25"/>
    <row r="374" ht="17.100000000000001" customHeight="1" x14ac:dyDescent="0.25"/>
    <row r="375" ht="17.100000000000001" customHeight="1" x14ac:dyDescent="0.25"/>
    <row r="376" ht="17.100000000000001" customHeight="1" x14ac:dyDescent="0.25"/>
    <row r="377" ht="17.100000000000001" customHeight="1" x14ac:dyDescent="0.25"/>
    <row r="378" ht="17.100000000000001" customHeight="1" x14ac:dyDescent="0.25"/>
    <row r="379" ht="17.100000000000001" customHeight="1" x14ac:dyDescent="0.25"/>
    <row r="380" ht="17.100000000000001" customHeight="1" x14ac:dyDescent="0.25"/>
    <row r="381" ht="17.100000000000001" customHeight="1" x14ac:dyDescent="0.25"/>
    <row r="382" ht="17.100000000000001" customHeight="1" x14ac:dyDescent="0.25"/>
    <row r="383" ht="17.100000000000001" customHeight="1" x14ac:dyDescent="0.25"/>
    <row r="384" ht="17.100000000000001" customHeight="1" x14ac:dyDescent="0.25"/>
    <row r="385" ht="17.100000000000001" customHeight="1" x14ac:dyDescent="0.25"/>
    <row r="386" ht="17.100000000000001" customHeight="1" x14ac:dyDescent="0.25"/>
    <row r="387" ht="17.100000000000001" customHeight="1" x14ac:dyDescent="0.25"/>
    <row r="388" ht="17.100000000000001" customHeight="1" x14ac:dyDescent="0.25"/>
    <row r="389" ht="17.100000000000001" customHeight="1" x14ac:dyDescent="0.25"/>
    <row r="390" ht="17.100000000000001" customHeight="1" x14ac:dyDescent="0.25"/>
    <row r="391" ht="17.100000000000001" customHeight="1" x14ac:dyDescent="0.25"/>
    <row r="392" ht="17.100000000000001" customHeight="1" x14ac:dyDescent="0.25"/>
    <row r="393" ht="17.100000000000001" customHeight="1" x14ac:dyDescent="0.25"/>
    <row r="394" ht="17.100000000000001" customHeight="1" x14ac:dyDescent="0.25"/>
    <row r="395" ht="17.100000000000001" customHeight="1" x14ac:dyDescent="0.25"/>
    <row r="396" ht="17.100000000000001" customHeight="1" x14ac:dyDescent="0.25"/>
    <row r="397" ht="17.100000000000001" customHeight="1" x14ac:dyDescent="0.25"/>
    <row r="398" ht="17.100000000000001" customHeight="1" x14ac:dyDescent="0.25"/>
    <row r="399" ht="17.100000000000001" customHeight="1" x14ac:dyDescent="0.25"/>
    <row r="400" ht="17.100000000000001" customHeight="1" x14ac:dyDescent="0.25"/>
    <row r="401" ht="17.100000000000001" customHeight="1" x14ac:dyDescent="0.25"/>
    <row r="402" ht="17.100000000000001" customHeight="1" x14ac:dyDescent="0.25"/>
    <row r="403" ht="17.100000000000001" customHeight="1" x14ac:dyDescent="0.25"/>
    <row r="404" ht="17.100000000000001" customHeight="1" x14ac:dyDescent="0.25"/>
    <row r="405" ht="17.100000000000001" customHeight="1" x14ac:dyDescent="0.25"/>
    <row r="406" ht="17.100000000000001" customHeight="1" x14ac:dyDescent="0.25"/>
    <row r="407" ht="17.100000000000001" customHeight="1" x14ac:dyDescent="0.25"/>
    <row r="408" ht="17.100000000000001" customHeight="1" x14ac:dyDescent="0.25"/>
    <row r="409" ht="17.100000000000001" customHeight="1" x14ac:dyDescent="0.25"/>
    <row r="410" ht="17.100000000000001" customHeight="1" x14ac:dyDescent="0.25"/>
    <row r="411" ht="17.100000000000001" customHeight="1" x14ac:dyDescent="0.25"/>
    <row r="412" ht="17.100000000000001" customHeight="1" x14ac:dyDescent="0.25"/>
    <row r="413" ht="17.100000000000001" customHeight="1" x14ac:dyDescent="0.25"/>
    <row r="414" ht="17.100000000000001" customHeight="1" x14ac:dyDescent="0.25"/>
    <row r="415" ht="17.100000000000001" customHeight="1" x14ac:dyDescent="0.25"/>
    <row r="416" ht="17.100000000000001" customHeight="1" x14ac:dyDescent="0.25"/>
    <row r="417" ht="17.100000000000001" customHeight="1" x14ac:dyDescent="0.25"/>
    <row r="418" ht="17.100000000000001" customHeight="1" x14ac:dyDescent="0.25"/>
    <row r="419" ht="17.100000000000001" customHeight="1" x14ac:dyDescent="0.25"/>
    <row r="420" ht="17.100000000000001" customHeight="1" x14ac:dyDescent="0.25"/>
    <row r="421" ht="17.100000000000001" customHeight="1" x14ac:dyDescent="0.25"/>
    <row r="422" ht="17.100000000000001" customHeight="1" x14ac:dyDescent="0.25"/>
    <row r="423" ht="17.100000000000001" customHeight="1" x14ac:dyDescent="0.25"/>
    <row r="424" ht="17.100000000000001" customHeight="1" x14ac:dyDescent="0.25"/>
    <row r="425" ht="17.100000000000001" customHeight="1" x14ac:dyDescent="0.25"/>
    <row r="426" ht="17.100000000000001" customHeight="1" x14ac:dyDescent="0.25"/>
    <row r="427" ht="17.100000000000001" customHeight="1" x14ac:dyDescent="0.25"/>
    <row r="428" ht="17.100000000000001" customHeight="1" x14ac:dyDescent="0.25"/>
    <row r="429" ht="17.100000000000001" customHeight="1" x14ac:dyDescent="0.25"/>
    <row r="430" ht="17.100000000000001" customHeight="1" x14ac:dyDescent="0.25"/>
    <row r="431" ht="17.100000000000001" customHeight="1" x14ac:dyDescent="0.25"/>
    <row r="432" ht="17.100000000000001" customHeight="1" x14ac:dyDescent="0.25"/>
    <row r="433" ht="17.100000000000001" customHeight="1" x14ac:dyDescent="0.25"/>
    <row r="434" ht="17.100000000000001" customHeight="1" x14ac:dyDescent="0.25"/>
    <row r="435" ht="17.100000000000001" customHeight="1" x14ac:dyDescent="0.25"/>
    <row r="436" ht="17.100000000000001" customHeight="1" x14ac:dyDescent="0.25"/>
    <row r="437" ht="17.100000000000001" customHeight="1" x14ac:dyDescent="0.25"/>
    <row r="438" ht="17.100000000000001" customHeight="1" x14ac:dyDescent="0.25"/>
    <row r="439" ht="17.100000000000001" customHeight="1" x14ac:dyDescent="0.25"/>
    <row r="440" ht="17.100000000000001" customHeight="1" x14ac:dyDescent="0.25"/>
    <row r="441" ht="17.100000000000001" customHeight="1" x14ac:dyDescent="0.25"/>
    <row r="442" ht="17.100000000000001" customHeight="1" x14ac:dyDescent="0.25"/>
    <row r="443" ht="17.100000000000001" customHeight="1" x14ac:dyDescent="0.25"/>
    <row r="444" ht="17.100000000000001" customHeight="1" x14ac:dyDescent="0.25"/>
    <row r="445" ht="17.100000000000001" customHeight="1" x14ac:dyDescent="0.25"/>
    <row r="446" ht="17.100000000000001" customHeight="1" x14ac:dyDescent="0.25"/>
    <row r="447" ht="17.100000000000001" customHeight="1" x14ac:dyDescent="0.25"/>
    <row r="448" ht="17.100000000000001" customHeight="1" x14ac:dyDescent="0.25"/>
    <row r="449" ht="17.100000000000001" customHeight="1" x14ac:dyDescent="0.25"/>
    <row r="450" ht="17.100000000000001" customHeight="1" x14ac:dyDescent="0.25"/>
    <row r="451" ht="17.100000000000001" customHeight="1" x14ac:dyDescent="0.25"/>
    <row r="452" ht="17.100000000000001" customHeight="1" x14ac:dyDescent="0.25"/>
    <row r="453" ht="17.100000000000001" customHeight="1" x14ac:dyDescent="0.25"/>
    <row r="454" ht="17.100000000000001" customHeight="1" x14ac:dyDescent="0.25"/>
    <row r="455" ht="17.100000000000001" customHeight="1" x14ac:dyDescent="0.25"/>
    <row r="456" ht="17.100000000000001" customHeight="1" x14ac:dyDescent="0.25"/>
    <row r="457" ht="17.100000000000001" customHeight="1" x14ac:dyDescent="0.25"/>
    <row r="458" ht="17.100000000000001" customHeight="1" x14ac:dyDescent="0.25"/>
    <row r="459" ht="17.100000000000001" customHeight="1" x14ac:dyDescent="0.25"/>
    <row r="460" ht="17.100000000000001" customHeight="1" x14ac:dyDescent="0.25"/>
    <row r="461" ht="17.100000000000001" customHeight="1" x14ac:dyDescent="0.25"/>
    <row r="462" ht="17.100000000000001" customHeight="1" x14ac:dyDescent="0.25"/>
    <row r="463" ht="17.100000000000001" customHeight="1" x14ac:dyDescent="0.25"/>
    <row r="464" ht="17.100000000000001" customHeight="1" x14ac:dyDescent="0.25"/>
    <row r="465" ht="17.100000000000001" customHeight="1" x14ac:dyDescent="0.25"/>
    <row r="466" ht="17.100000000000001" customHeight="1" x14ac:dyDescent="0.25"/>
    <row r="467" ht="17.100000000000001" customHeight="1" x14ac:dyDescent="0.25"/>
    <row r="468" ht="17.100000000000001" customHeight="1" x14ac:dyDescent="0.25"/>
    <row r="469" ht="17.100000000000001" customHeight="1" x14ac:dyDescent="0.25"/>
    <row r="470" ht="17.100000000000001" customHeight="1" x14ac:dyDescent="0.25"/>
    <row r="471" ht="17.100000000000001" customHeight="1" x14ac:dyDescent="0.25"/>
    <row r="472" ht="17.100000000000001" customHeight="1" x14ac:dyDescent="0.25"/>
    <row r="473" ht="17.100000000000001" customHeight="1" x14ac:dyDescent="0.25"/>
    <row r="474" ht="17.100000000000001" customHeight="1" x14ac:dyDescent="0.25"/>
    <row r="475" ht="17.100000000000001" customHeight="1" x14ac:dyDescent="0.25"/>
    <row r="476" ht="17.100000000000001" customHeight="1" x14ac:dyDescent="0.25"/>
    <row r="477" ht="17.100000000000001" customHeight="1" x14ac:dyDescent="0.25"/>
    <row r="478" ht="17.100000000000001" customHeight="1" x14ac:dyDescent="0.25"/>
    <row r="479" ht="17.100000000000001" customHeight="1" x14ac:dyDescent="0.25"/>
    <row r="480" ht="17.100000000000001" customHeight="1" x14ac:dyDescent="0.25"/>
    <row r="481" ht="17.100000000000001" customHeight="1" x14ac:dyDescent="0.25"/>
    <row r="482" ht="17.100000000000001" customHeight="1" x14ac:dyDescent="0.25"/>
    <row r="483" ht="17.100000000000001" customHeight="1" x14ac:dyDescent="0.25"/>
    <row r="484" ht="17.100000000000001" customHeight="1" x14ac:dyDescent="0.25"/>
    <row r="485" ht="17.100000000000001" customHeight="1" x14ac:dyDescent="0.25"/>
    <row r="486" ht="17.100000000000001" customHeight="1" x14ac:dyDescent="0.25"/>
    <row r="487" ht="17.100000000000001" customHeight="1" x14ac:dyDescent="0.25"/>
    <row r="488" ht="17.100000000000001" customHeight="1" x14ac:dyDescent="0.25"/>
    <row r="489" ht="17.100000000000001" customHeight="1" x14ac:dyDescent="0.25"/>
    <row r="490" ht="17.100000000000001" customHeight="1" x14ac:dyDescent="0.25"/>
    <row r="491" ht="17.100000000000001" customHeight="1" x14ac:dyDescent="0.25"/>
    <row r="492" ht="17.100000000000001" customHeight="1" x14ac:dyDescent="0.25"/>
    <row r="493" ht="17.100000000000001" customHeight="1" x14ac:dyDescent="0.25"/>
    <row r="494" ht="17.100000000000001" customHeight="1" x14ac:dyDescent="0.25"/>
    <row r="495" ht="17.100000000000001" customHeight="1" x14ac:dyDescent="0.25"/>
    <row r="496" ht="17.100000000000001" customHeight="1" x14ac:dyDescent="0.25"/>
    <row r="497" ht="17.100000000000001" customHeight="1" x14ac:dyDescent="0.25"/>
    <row r="498" ht="17.100000000000001" customHeight="1" x14ac:dyDescent="0.25"/>
    <row r="499" ht="17.100000000000001" customHeight="1" x14ac:dyDescent="0.25"/>
    <row r="500" ht="17.100000000000001" customHeight="1" x14ac:dyDescent="0.25"/>
    <row r="501" ht="17.100000000000001" customHeight="1" x14ac:dyDescent="0.25"/>
    <row r="502" ht="17.100000000000001" customHeight="1" x14ac:dyDescent="0.25"/>
    <row r="503" ht="17.100000000000001" customHeight="1" x14ac:dyDescent="0.25"/>
    <row r="504" ht="17.100000000000001" customHeight="1" x14ac:dyDescent="0.25"/>
    <row r="505" ht="17.100000000000001" customHeight="1" x14ac:dyDescent="0.25"/>
    <row r="506" ht="17.100000000000001" customHeight="1" x14ac:dyDescent="0.25"/>
    <row r="507" ht="17.100000000000001" customHeight="1" x14ac:dyDescent="0.25"/>
    <row r="508" ht="17.100000000000001" customHeight="1" x14ac:dyDescent="0.25"/>
    <row r="509" ht="17.100000000000001" customHeight="1" x14ac:dyDescent="0.25"/>
    <row r="510" ht="17.100000000000001" customHeight="1" x14ac:dyDescent="0.25"/>
    <row r="511" ht="17.100000000000001" customHeight="1" x14ac:dyDescent="0.25"/>
    <row r="512" ht="17.100000000000001" customHeight="1" x14ac:dyDescent="0.25"/>
    <row r="513" ht="17.100000000000001" customHeight="1" x14ac:dyDescent="0.25"/>
    <row r="514" ht="17.100000000000001" customHeight="1" x14ac:dyDescent="0.25"/>
    <row r="515" ht="17.100000000000001" customHeight="1" x14ac:dyDescent="0.25"/>
    <row r="516" ht="17.100000000000001" customHeight="1" x14ac:dyDescent="0.25"/>
    <row r="517" ht="17.100000000000001" customHeight="1" x14ac:dyDescent="0.25"/>
    <row r="518" ht="17.100000000000001" customHeight="1" x14ac:dyDescent="0.25"/>
    <row r="519" ht="17.100000000000001" customHeight="1" x14ac:dyDescent="0.25"/>
    <row r="520" ht="17.100000000000001" customHeight="1" x14ac:dyDescent="0.25"/>
    <row r="521" ht="17.100000000000001" customHeight="1" x14ac:dyDescent="0.25"/>
    <row r="522" ht="17.100000000000001" customHeight="1" x14ac:dyDescent="0.25"/>
    <row r="523" ht="17.100000000000001" customHeight="1" x14ac:dyDescent="0.25"/>
    <row r="524" ht="17.100000000000001" customHeight="1" x14ac:dyDescent="0.25"/>
    <row r="525" ht="17.100000000000001" customHeight="1" x14ac:dyDescent="0.25"/>
    <row r="526" ht="17.100000000000001" customHeight="1" x14ac:dyDescent="0.25"/>
    <row r="527" ht="17.100000000000001" customHeight="1" x14ac:dyDescent="0.25"/>
    <row r="528" ht="17.100000000000001" customHeight="1" x14ac:dyDescent="0.25"/>
    <row r="529" ht="17.100000000000001" customHeight="1" x14ac:dyDescent="0.25"/>
    <row r="530" ht="17.100000000000001" customHeight="1" x14ac:dyDescent="0.25"/>
    <row r="531" ht="17.100000000000001" customHeight="1" x14ac:dyDescent="0.25"/>
    <row r="532" ht="17.100000000000001" customHeight="1" x14ac:dyDescent="0.25"/>
    <row r="533" ht="17.100000000000001" customHeight="1" x14ac:dyDescent="0.25"/>
    <row r="534" ht="17.100000000000001" customHeight="1" x14ac:dyDescent="0.25"/>
    <row r="535" ht="17.100000000000001" customHeight="1" x14ac:dyDescent="0.25"/>
    <row r="536" ht="17.100000000000001" customHeight="1" x14ac:dyDescent="0.25"/>
    <row r="537" ht="17.100000000000001" customHeight="1" x14ac:dyDescent="0.25"/>
    <row r="538" ht="17.100000000000001" customHeight="1" x14ac:dyDescent="0.25"/>
    <row r="539" ht="17.100000000000001" customHeight="1" x14ac:dyDescent="0.25"/>
    <row r="540" ht="17.100000000000001" customHeight="1" x14ac:dyDescent="0.25"/>
    <row r="541" ht="17.100000000000001" customHeight="1" x14ac:dyDescent="0.25"/>
    <row r="542" ht="17.100000000000001" customHeight="1" x14ac:dyDescent="0.25"/>
    <row r="543" ht="17.100000000000001" customHeight="1" x14ac:dyDescent="0.25"/>
    <row r="544" ht="17.100000000000001" customHeight="1" x14ac:dyDescent="0.25"/>
    <row r="545" ht="17.100000000000001" customHeight="1" x14ac:dyDescent="0.25"/>
    <row r="546" ht="17.100000000000001" customHeight="1" x14ac:dyDescent="0.25"/>
    <row r="547" ht="17.100000000000001" customHeight="1" x14ac:dyDescent="0.25"/>
    <row r="548" ht="17.100000000000001" customHeight="1" x14ac:dyDescent="0.25"/>
    <row r="549" ht="17.100000000000001" customHeight="1" x14ac:dyDescent="0.25"/>
    <row r="550" ht="17.100000000000001" customHeight="1" x14ac:dyDescent="0.25"/>
    <row r="551" ht="17.100000000000001" customHeight="1" x14ac:dyDescent="0.25"/>
    <row r="552" ht="17.100000000000001" customHeight="1" x14ac:dyDescent="0.25"/>
    <row r="553" ht="17.100000000000001" customHeight="1" x14ac:dyDescent="0.25"/>
    <row r="554" ht="17.100000000000001" customHeight="1" x14ac:dyDescent="0.25"/>
    <row r="555" ht="17.100000000000001" customHeight="1" x14ac:dyDescent="0.25"/>
    <row r="556" ht="17.100000000000001" customHeight="1" x14ac:dyDescent="0.25"/>
    <row r="557" ht="17.100000000000001" customHeight="1" x14ac:dyDescent="0.25"/>
    <row r="558" ht="17.100000000000001" customHeight="1" x14ac:dyDescent="0.25"/>
    <row r="559" ht="17.100000000000001" customHeight="1" x14ac:dyDescent="0.25"/>
    <row r="560" ht="17.100000000000001" customHeight="1" x14ac:dyDescent="0.25"/>
    <row r="561" ht="17.100000000000001" customHeight="1" x14ac:dyDescent="0.25"/>
    <row r="562" ht="17.100000000000001" customHeight="1" x14ac:dyDescent="0.25"/>
    <row r="563" ht="17.100000000000001" customHeight="1" x14ac:dyDescent="0.25"/>
    <row r="564" ht="17.100000000000001" customHeight="1" x14ac:dyDescent="0.25"/>
    <row r="565" ht="17.100000000000001" customHeight="1" x14ac:dyDescent="0.25"/>
    <row r="566" ht="17.100000000000001" customHeight="1" x14ac:dyDescent="0.25"/>
    <row r="567" ht="17.100000000000001" customHeight="1" x14ac:dyDescent="0.25"/>
    <row r="568" ht="17.100000000000001" customHeight="1" x14ac:dyDescent="0.25"/>
    <row r="569" ht="17.100000000000001" customHeight="1" x14ac:dyDescent="0.25"/>
    <row r="570" ht="17.100000000000001" customHeight="1" x14ac:dyDescent="0.25"/>
    <row r="571" ht="17.100000000000001" customHeight="1" x14ac:dyDescent="0.25"/>
    <row r="572" ht="17.100000000000001" customHeight="1" x14ac:dyDescent="0.25"/>
    <row r="573" ht="17.100000000000001" customHeight="1" x14ac:dyDescent="0.25"/>
    <row r="574" ht="17.100000000000001" customHeight="1" x14ac:dyDescent="0.25"/>
    <row r="575" ht="17.100000000000001" customHeight="1" x14ac:dyDescent="0.25"/>
    <row r="576" ht="17.100000000000001" customHeight="1" x14ac:dyDescent="0.25"/>
    <row r="577" ht="17.100000000000001" customHeight="1" x14ac:dyDescent="0.25"/>
    <row r="578" ht="17.100000000000001" customHeight="1" x14ac:dyDescent="0.25"/>
    <row r="579" ht="17.100000000000001" customHeight="1" x14ac:dyDescent="0.25"/>
    <row r="580" ht="17.100000000000001" customHeight="1" x14ac:dyDescent="0.25"/>
    <row r="581" ht="17.100000000000001" customHeight="1" x14ac:dyDescent="0.25"/>
    <row r="582" ht="17.100000000000001" customHeight="1" x14ac:dyDescent="0.25"/>
    <row r="583" ht="17.100000000000001" customHeight="1" x14ac:dyDescent="0.25"/>
    <row r="584" ht="17.100000000000001" customHeight="1" x14ac:dyDescent="0.25"/>
    <row r="585" ht="17.100000000000001" customHeight="1" x14ac:dyDescent="0.25"/>
    <row r="586" ht="17.100000000000001" customHeight="1" x14ac:dyDescent="0.25"/>
    <row r="587" ht="17.100000000000001" customHeight="1" x14ac:dyDescent="0.25"/>
    <row r="588" ht="17.100000000000001" customHeight="1" x14ac:dyDescent="0.25"/>
    <row r="589" ht="17.100000000000001" customHeight="1" x14ac:dyDescent="0.25"/>
    <row r="590" ht="17.100000000000001" customHeight="1" x14ac:dyDescent="0.25"/>
    <row r="591" ht="17.100000000000001" customHeight="1" x14ac:dyDescent="0.25"/>
    <row r="592" ht="17.100000000000001" customHeight="1" x14ac:dyDescent="0.25"/>
    <row r="593" ht="17.100000000000001" customHeight="1" x14ac:dyDescent="0.25"/>
    <row r="594" ht="17.100000000000001" customHeight="1" x14ac:dyDescent="0.25"/>
    <row r="595" ht="17.100000000000001" customHeight="1" x14ac:dyDescent="0.25"/>
    <row r="596" ht="17.100000000000001" customHeight="1" x14ac:dyDescent="0.25"/>
    <row r="597" ht="17.100000000000001" customHeight="1" x14ac:dyDescent="0.25"/>
    <row r="598" ht="17.100000000000001" customHeight="1" x14ac:dyDescent="0.25"/>
    <row r="599" ht="17.100000000000001" customHeight="1" x14ac:dyDescent="0.25"/>
    <row r="600" ht="17.100000000000001" customHeight="1" x14ac:dyDescent="0.25"/>
    <row r="601" ht="17.100000000000001" customHeight="1" x14ac:dyDescent="0.25"/>
    <row r="602" ht="17.100000000000001" customHeight="1" x14ac:dyDescent="0.25"/>
    <row r="603" ht="17.100000000000001" customHeight="1" x14ac:dyDescent="0.25"/>
    <row r="604" ht="17.100000000000001" customHeight="1" x14ac:dyDescent="0.25"/>
    <row r="605" ht="17.100000000000001" customHeight="1" x14ac:dyDescent="0.25"/>
    <row r="606" ht="17.100000000000001" customHeight="1" x14ac:dyDescent="0.25"/>
    <row r="607" ht="17.100000000000001" customHeight="1" x14ac:dyDescent="0.25"/>
    <row r="608" ht="17.100000000000001" customHeight="1" x14ac:dyDescent="0.25"/>
    <row r="609" ht="17.100000000000001" customHeight="1" x14ac:dyDescent="0.25"/>
    <row r="610" ht="17.100000000000001" customHeight="1" x14ac:dyDescent="0.25"/>
    <row r="611" ht="17.100000000000001" customHeight="1" x14ac:dyDescent="0.25"/>
    <row r="612" ht="17.100000000000001" customHeight="1" x14ac:dyDescent="0.25"/>
    <row r="613" ht="17.100000000000001" customHeight="1" x14ac:dyDescent="0.25"/>
    <row r="614" ht="17.100000000000001" customHeight="1" x14ac:dyDescent="0.25"/>
    <row r="615" ht="17.100000000000001" customHeight="1" x14ac:dyDescent="0.25"/>
  </sheetData>
  <sheetProtection sheet="1" formatCells="0" formatColumns="0" formatRows="0" insertColumns="0" insertRows="0" selectLockedCells="1" sort="0" autoFilter="0"/>
  <mergeCells count="12">
    <mergeCell ref="B1:C1"/>
    <mergeCell ref="A14:F14"/>
    <mergeCell ref="H8:I8"/>
    <mergeCell ref="H9:I9"/>
    <mergeCell ref="H1:I1"/>
    <mergeCell ref="H3:I3"/>
    <mergeCell ref="H4:I4"/>
    <mergeCell ref="H5:I5"/>
    <mergeCell ref="H6:I6"/>
    <mergeCell ref="H7:I7"/>
    <mergeCell ref="H11:I11"/>
    <mergeCell ref="A13:F13"/>
  </mergeCells>
  <dataValidations xWindow="211" yWindow="501" count="1">
    <dataValidation type="list" allowBlank="1" showInputMessage="1" showErrorMessage="1" sqref="F12" xr:uid="{00000000-0002-0000-0000-000000000000}">
      <formula1>"-10,-5,0,5,10"</formula1>
    </dataValidation>
  </dataValidations>
  <pageMargins left="0.7" right="0.7" top="0.75" bottom="0.75" header="0.3" footer="0.3"/>
  <pageSetup paperSize="9" orientation="portrait" horizontalDpi="360" verticalDpi="360" r:id="rId1"/>
  <ignoredErrors>
    <ignoredError sqref="C3"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ltText="Onay Kutusu">
                <anchor moveWithCells="1">
                  <from>
                    <xdr:col>0</xdr:col>
                    <xdr:colOff>266700</xdr:colOff>
                    <xdr:row>14</xdr:row>
                    <xdr:rowOff>200025</xdr:rowOff>
                  </from>
                  <to>
                    <xdr:col>0</xdr:col>
                    <xdr:colOff>571500</xdr:colOff>
                    <xdr:row>15</xdr:row>
                    <xdr:rowOff>200025</xdr:rowOff>
                  </to>
                </anchor>
              </controlPr>
            </control>
          </mc:Choice>
        </mc:AlternateContent>
        <mc:AlternateContent xmlns:mc="http://schemas.openxmlformats.org/markup-compatibility/2006">
          <mc:Choice Requires="x14">
            <control shapeId="1211" r:id="rId5" name="Check Box 187">
              <controlPr defaultSize="0" autoFill="0" autoLine="0" autoPict="0" altText="Onay Kutusu">
                <anchor moveWithCells="1">
                  <from>
                    <xdr:col>0</xdr:col>
                    <xdr:colOff>266700</xdr:colOff>
                    <xdr:row>16</xdr:row>
                    <xdr:rowOff>9525</xdr:rowOff>
                  </from>
                  <to>
                    <xdr:col>0</xdr:col>
                    <xdr:colOff>571500</xdr:colOff>
                    <xdr:row>17</xdr:row>
                    <xdr:rowOff>9525</xdr:rowOff>
                  </to>
                </anchor>
              </controlPr>
            </control>
          </mc:Choice>
        </mc:AlternateContent>
        <mc:AlternateContent xmlns:mc="http://schemas.openxmlformats.org/markup-compatibility/2006">
          <mc:Choice Requires="x14">
            <control shapeId="1212" r:id="rId6" name="Check Box 188">
              <controlPr defaultSize="0" autoFill="0" autoLine="0" autoPict="0" altText="Onay Kutusu">
                <anchor moveWithCells="1">
                  <from>
                    <xdr:col>0</xdr:col>
                    <xdr:colOff>266700</xdr:colOff>
                    <xdr:row>17</xdr:row>
                    <xdr:rowOff>9525</xdr:rowOff>
                  </from>
                  <to>
                    <xdr:col>0</xdr:col>
                    <xdr:colOff>571500</xdr:colOff>
                    <xdr:row>18</xdr:row>
                    <xdr:rowOff>9525</xdr:rowOff>
                  </to>
                </anchor>
              </controlPr>
            </control>
          </mc:Choice>
        </mc:AlternateContent>
        <mc:AlternateContent xmlns:mc="http://schemas.openxmlformats.org/markup-compatibility/2006">
          <mc:Choice Requires="x14">
            <control shapeId="1213" r:id="rId7" name="Check Box 189">
              <controlPr defaultSize="0" autoFill="0" autoLine="0" autoPict="0" altText="Onay Kutusu">
                <anchor moveWithCells="1">
                  <from>
                    <xdr:col>0</xdr:col>
                    <xdr:colOff>266700</xdr:colOff>
                    <xdr:row>18</xdr:row>
                    <xdr:rowOff>9525</xdr:rowOff>
                  </from>
                  <to>
                    <xdr:col>0</xdr:col>
                    <xdr:colOff>571500</xdr:colOff>
                    <xdr:row>19</xdr:row>
                    <xdr:rowOff>9525</xdr:rowOff>
                  </to>
                </anchor>
              </controlPr>
            </control>
          </mc:Choice>
        </mc:AlternateContent>
        <mc:AlternateContent xmlns:mc="http://schemas.openxmlformats.org/markup-compatibility/2006">
          <mc:Choice Requires="x14">
            <control shapeId="1214" r:id="rId8" name="Check Box 190">
              <controlPr defaultSize="0" autoFill="0" autoLine="0" autoPict="0" altText="Onay Kutusu">
                <anchor moveWithCells="1">
                  <from>
                    <xdr:col>0</xdr:col>
                    <xdr:colOff>266700</xdr:colOff>
                    <xdr:row>19</xdr:row>
                    <xdr:rowOff>9525</xdr:rowOff>
                  </from>
                  <to>
                    <xdr:col>0</xdr:col>
                    <xdr:colOff>571500</xdr:colOff>
                    <xdr:row>20</xdr:row>
                    <xdr:rowOff>9525</xdr:rowOff>
                  </to>
                </anchor>
              </controlPr>
            </control>
          </mc:Choice>
        </mc:AlternateContent>
        <mc:AlternateContent xmlns:mc="http://schemas.openxmlformats.org/markup-compatibility/2006">
          <mc:Choice Requires="x14">
            <control shapeId="1215" r:id="rId9" name="Check Box 191">
              <controlPr defaultSize="0" autoFill="0" autoLine="0" autoPict="0" altText="Onay Kutusu">
                <anchor moveWithCells="1">
                  <from>
                    <xdr:col>0</xdr:col>
                    <xdr:colOff>266700</xdr:colOff>
                    <xdr:row>20</xdr:row>
                    <xdr:rowOff>9525</xdr:rowOff>
                  </from>
                  <to>
                    <xdr:col>0</xdr:col>
                    <xdr:colOff>571500</xdr:colOff>
                    <xdr:row>21</xdr:row>
                    <xdr:rowOff>9525</xdr:rowOff>
                  </to>
                </anchor>
              </controlPr>
            </control>
          </mc:Choice>
        </mc:AlternateContent>
        <mc:AlternateContent xmlns:mc="http://schemas.openxmlformats.org/markup-compatibility/2006">
          <mc:Choice Requires="x14">
            <control shapeId="1216" r:id="rId10" name="Check Box 192">
              <controlPr defaultSize="0" autoFill="0" autoLine="0" autoPict="0" altText="Onay Kutusu">
                <anchor moveWithCells="1">
                  <from>
                    <xdr:col>0</xdr:col>
                    <xdr:colOff>266700</xdr:colOff>
                    <xdr:row>21</xdr:row>
                    <xdr:rowOff>9525</xdr:rowOff>
                  </from>
                  <to>
                    <xdr:col>0</xdr:col>
                    <xdr:colOff>571500</xdr:colOff>
                    <xdr:row>22</xdr:row>
                    <xdr:rowOff>9525</xdr:rowOff>
                  </to>
                </anchor>
              </controlPr>
            </control>
          </mc:Choice>
        </mc:AlternateContent>
        <mc:AlternateContent xmlns:mc="http://schemas.openxmlformats.org/markup-compatibility/2006">
          <mc:Choice Requires="x14">
            <control shapeId="1217" r:id="rId11" name="Check Box 193">
              <controlPr defaultSize="0" autoFill="0" autoLine="0" autoPict="0" altText="Onay Kutusu">
                <anchor moveWithCells="1">
                  <from>
                    <xdr:col>0</xdr:col>
                    <xdr:colOff>266700</xdr:colOff>
                    <xdr:row>22</xdr:row>
                    <xdr:rowOff>9525</xdr:rowOff>
                  </from>
                  <to>
                    <xdr:col>0</xdr:col>
                    <xdr:colOff>571500</xdr:colOff>
                    <xdr:row>23</xdr:row>
                    <xdr:rowOff>9525</xdr:rowOff>
                  </to>
                </anchor>
              </controlPr>
            </control>
          </mc:Choice>
        </mc:AlternateContent>
        <mc:AlternateContent xmlns:mc="http://schemas.openxmlformats.org/markup-compatibility/2006">
          <mc:Choice Requires="x14">
            <control shapeId="1218" r:id="rId12" name="Check Box 194">
              <controlPr defaultSize="0" autoFill="0" autoLine="0" autoPict="0" altText="Onay Kutusu">
                <anchor moveWithCells="1">
                  <from>
                    <xdr:col>0</xdr:col>
                    <xdr:colOff>266700</xdr:colOff>
                    <xdr:row>23</xdr:row>
                    <xdr:rowOff>9525</xdr:rowOff>
                  </from>
                  <to>
                    <xdr:col>0</xdr:col>
                    <xdr:colOff>571500</xdr:colOff>
                    <xdr:row>24</xdr:row>
                    <xdr:rowOff>9525</xdr:rowOff>
                  </to>
                </anchor>
              </controlPr>
            </control>
          </mc:Choice>
        </mc:AlternateContent>
        <mc:AlternateContent xmlns:mc="http://schemas.openxmlformats.org/markup-compatibility/2006">
          <mc:Choice Requires="x14">
            <control shapeId="1219" r:id="rId13" name="Check Box 195">
              <controlPr defaultSize="0" autoFill="0" autoLine="0" autoPict="0" altText="Onay Kutusu">
                <anchor moveWithCells="1">
                  <from>
                    <xdr:col>0</xdr:col>
                    <xdr:colOff>266700</xdr:colOff>
                    <xdr:row>24</xdr:row>
                    <xdr:rowOff>9525</xdr:rowOff>
                  </from>
                  <to>
                    <xdr:col>0</xdr:col>
                    <xdr:colOff>571500</xdr:colOff>
                    <xdr:row>25</xdr:row>
                    <xdr:rowOff>9525</xdr:rowOff>
                  </to>
                </anchor>
              </controlPr>
            </control>
          </mc:Choice>
        </mc:AlternateContent>
        <mc:AlternateContent xmlns:mc="http://schemas.openxmlformats.org/markup-compatibility/2006">
          <mc:Choice Requires="x14">
            <control shapeId="1220" r:id="rId14" name="Check Box 196">
              <controlPr defaultSize="0" autoFill="0" autoLine="0" autoPict="0" altText="Onay Kutusu">
                <anchor moveWithCells="1">
                  <from>
                    <xdr:col>0</xdr:col>
                    <xdr:colOff>266700</xdr:colOff>
                    <xdr:row>25</xdr:row>
                    <xdr:rowOff>9525</xdr:rowOff>
                  </from>
                  <to>
                    <xdr:col>0</xdr:col>
                    <xdr:colOff>571500</xdr:colOff>
                    <xdr:row>26</xdr:row>
                    <xdr:rowOff>9525</xdr:rowOff>
                  </to>
                </anchor>
              </controlPr>
            </control>
          </mc:Choice>
        </mc:AlternateContent>
        <mc:AlternateContent xmlns:mc="http://schemas.openxmlformats.org/markup-compatibility/2006">
          <mc:Choice Requires="x14">
            <control shapeId="1221" r:id="rId15" name="Check Box 197">
              <controlPr defaultSize="0" autoFill="0" autoLine="0" autoPict="0" altText="Onay Kutusu">
                <anchor moveWithCells="1">
                  <from>
                    <xdr:col>0</xdr:col>
                    <xdr:colOff>266700</xdr:colOff>
                    <xdr:row>26</xdr:row>
                    <xdr:rowOff>9525</xdr:rowOff>
                  </from>
                  <to>
                    <xdr:col>0</xdr:col>
                    <xdr:colOff>571500</xdr:colOff>
                    <xdr:row>27</xdr:row>
                    <xdr:rowOff>9525</xdr:rowOff>
                  </to>
                </anchor>
              </controlPr>
            </control>
          </mc:Choice>
        </mc:AlternateContent>
        <mc:AlternateContent xmlns:mc="http://schemas.openxmlformats.org/markup-compatibility/2006">
          <mc:Choice Requires="x14">
            <control shapeId="1222" r:id="rId16" name="Check Box 198">
              <controlPr defaultSize="0" autoFill="0" autoLine="0" autoPict="0" altText="Onay Kutusu">
                <anchor moveWithCells="1">
                  <from>
                    <xdr:col>0</xdr:col>
                    <xdr:colOff>266700</xdr:colOff>
                    <xdr:row>27</xdr:row>
                    <xdr:rowOff>9525</xdr:rowOff>
                  </from>
                  <to>
                    <xdr:col>0</xdr:col>
                    <xdr:colOff>571500</xdr:colOff>
                    <xdr:row>28</xdr:row>
                    <xdr:rowOff>9525</xdr:rowOff>
                  </to>
                </anchor>
              </controlPr>
            </control>
          </mc:Choice>
        </mc:AlternateContent>
        <mc:AlternateContent xmlns:mc="http://schemas.openxmlformats.org/markup-compatibility/2006">
          <mc:Choice Requires="x14">
            <control shapeId="1223" r:id="rId17" name="Check Box 199">
              <controlPr defaultSize="0" autoFill="0" autoLine="0" autoPict="0" altText="Onay Kutusu">
                <anchor moveWithCells="1">
                  <from>
                    <xdr:col>0</xdr:col>
                    <xdr:colOff>266700</xdr:colOff>
                    <xdr:row>28</xdr:row>
                    <xdr:rowOff>9525</xdr:rowOff>
                  </from>
                  <to>
                    <xdr:col>0</xdr:col>
                    <xdr:colOff>571500</xdr:colOff>
                    <xdr:row>29</xdr:row>
                    <xdr:rowOff>9525</xdr:rowOff>
                  </to>
                </anchor>
              </controlPr>
            </control>
          </mc:Choice>
        </mc:AlternateContent>
        <mc:AlternateContent xmlns:mc="http://schemas.openxmlformats.org/markup-compatibility/2006">
          <mc:Choice Requires="x14">
            <control shapeId="1224" r:id="rId18" name="Check Box 200">
              <controlPr defaultSize="0" autoFill="0" autoLine="0" autoPict="0" altText="Onay Kutusu">
                <anchor moveWithCells="1">
                  <from>
                    <xdr:col>0</xdr:col>
                    <xdr:colOff>266700</xdr:colOff>
                    <xdr:row>29</xdr:row>
                    <xdr:rowOff>9525</xdr:rowOff>
                  </from>
                  <to>
                    <xdr:col>0</xdr:col>
                    <xdr:colOff>571500</xdr:colOff>
                    <xdr:row>30</xdr:row>
                    <xdr:rowOff>9525</xdr:rowOff>
                  </to>
                </anchor>
              </controlPr>
            </control>
          </mc:Choice>
        </mc:AlternateContent>
        <mc:AlternateContent xmlns:mc="http://schemas.openxmlformats.org/markup-compatibility/2006">
          <mc:Choice Requires="x14">
            <control shapeId="1225" r:id="rId19" name="Check Box 201">
              <controlPr defaultSize="0" autoFill="0" autoLine="0" autoPict="0" altText="Onay Kutusu">
                <anchor moveWithCells="1">
                  <from>
                    <xdr:col>0</xdr:col>
                    <xdr:colOff>266700</xdr:colOff>
                    <xdr:row>30</xdr:row>
                    <xdr:rowOff>9525</xdr:rowOff>
                  </from>
                  <to>
                    <xdr:col>0</xdr:col>
                    <xdr:colOff>571500</xdr:colOff>
                    <xdr:row>31</xdr:row>
                    <xdr:rowOff>9525</xdr:rowOff>
                  </to>
                </anchor>
              </controlPr>
            </control>
          </mc:Choice>
        </mc:AlternateContent>
        <mc:AlternateContent xmlns:mc="http://schemas.openxmlformats.org/markup-compatibility/2006">
          <mc:Choice Requires="x14">
            <control shapeId="1226" r:id="rId20" name="Check Box 202">
              <controlPr defaultSize="0" autoFill="0" autoLine="0" autoPict="0" altText="Onay Kutusu">
                <anchor moveWithCells="1">
                  <from>
                    <xdr:col>0</xdr:col>
                    <xdr:colOff>266700</xdr:colOff>
                    <xdr:row>43</xdr:row>
                    <xdr:rowOff>9525</xdr:rowOff>
                  </from>
                  <to>
                    <xdr:col>0</xdr:col>
                    <xdr:colOff>571500</xdr:colOff>
                    <xdr:row>44</xdr:row>
                    <xdr:rowOff>9525</xdr:rowOff>
                  </to>
                </anchor>
              </controlPr>
            </control>
          </mc:Choice>
        </mc:AlternateContent>
        <mc:AlternateContent xmlns:mc="http://schemas.openxmlformats.org/markup-compatibility/2006">
          <mc:Choice Requires="x14">
            <control shapeId="1227" r:id="rId21" name="Check Box 203">
              <controlPr defaultSize="0" autoFill="0" autoLine="0" autoPict="0" altText="Onay Kutusu">
                <anchor moveWithCells="1">
                  <from>
                    <xdr:col>0</xdr:col>
                    <xdr:colOff>266700</xdr:colOff>
                    <xdr:row>44</xdr:row>
                    <xdr:rowOff>9525</xdr:rowOff>
                  </from>
                  <to>
                    <xdr:col>0</xdr:col>
                    <xdr:colOff>571500</xdr:colOff>
                    <xdr:row>45</xdr:row>
                    <xdr:rowOff>9525</xdr:rowOff>
                  </to>
                </anchor>
              </controlPr>
            </control>
          </mc:Choice>
        </mc:AlternateContent>
        <mc:AlternateContent xmlns:mc="http://schemas.openxmlformats.org/markup-compatibility/2006">
          <mc:Choice Requires="x14">
            <control shapeId="1228" r:id="rId22" name="Check Box 204">
              <controlPr defaultSize="0" autoFill="0" autoLine="0" autoPict="0" altText="Onay Kutusu">
                <anchor moveWithCells="1">
                  <from>
                    <xdr:col>0</xdr:col>
                    <xdr:colOff>266700</xdr:colOff>
                    <xdr:row>45</xdr:row>
                    <xdr:rowOff>9525</xdr:rowOff>
                  </from>
                  <to>
                    <xdr:col>0</xdr:col>
                    <xdr:colOff>571500</xdr:colOff>
                    <xdr:row>46</xdr:row>
                    <xdr:rowOff>9525</xdr:rowOff>
                  </to>
                </anchor>
              </controlPr>
            </control>
          </mc:Choice>
        </mc:AlternateContent>
        <mc:AlternateContent xmlns:mc="http://schemas.openxmlformats.org/markup-compatibility/2006">
          <mc:Choice Requires="x14">
            <control shapeId="1229" r:id="rId23" name="Check Box 205">
              <controlPr defaultSize="0" autoFill="0" autoLine="0" autoPict="0" altText="Onay Kutusu">
                <anchor moveWithCells="1">
                  <from>
                    <xdr:col>0</xdr:col>
                    <xdr:colOff>266700</xdr:colOff>
                    <xdr:row>46</xdr:row>
                    <xdr:rowOff>9525</xdr:rowOff>
                  </from>
                  <to>
                    <xdr:col>0</xdr:col>
                    <xdr:colOff>571500</xdr:colOff>
                    <xdr:row>47</xdr:row>
                    <xdr:rowOff>9525</xdr:rowOff>
                  </to>
                </anchor>
              </controlPr>
            </control>
          </mc:Choice>
        </mc:AlternateContent>
        <mc:AlternateContent xmlns:mc="http://schemas.openxmlformats.org/markup-compatibility/2006">
          <mc:Choice Requires="x14">
            <control shapeId="1230" r:id="rId24" name="Check Box 206">
              <controlPr defaultSize="0" autoFill="0" autoLine="0" autoPict="0" altText="Onay Kutusu">
                <anchor moveWithCells="1">
                  <from>
                    <xdr:col>0</xdr:col>
                    <xdr:colOff>266700</xdr:colOff>
                    <xdr:row>47</xdr:row>
                    <xdr:rowOff>9525</xdr:rowOff>
                  </from>
                  <to>
                    <xdr:col>0</xdr:col>
                    <xdr:colOff>571500</xdr:colOff>
                    <xdr:row>48</xdr:row>
                    <xdr:rowOff>9525</xdr:rowOff>
                  </to>
                </anchor>
              </controlPr>
            </control>
          </mc:Choice>
        </mc:AlternateContent>
        <mc:AlternateContent xmlns:mc="http://schemas.openxmlformats.org/markup-compatibility/2006">
          <mc:Choice Requires="x14">
            <control shapeId="1231" r:id="rId25" name="Check Box 207">
              <controlPr defaultSize="0" autoFill="0" autoLine="0" autoPict="0" altText="Onay Kutusu">
                <anchor moveWithCells="1">
                  <from>
                    <xdr:col>0</xdr:col>
                    <xdr:colOff>266700</xdr:colOff>
                    <xdr:row>48</xdr:row>
                    <xdr:rowOff>9525</xdr:rowOff>
                  </from>
                  <to>
                    <xdr:col>0</xdr:col>
                    <xdr:colOff>571500</xdr:colOff>
                    <xdr:row>49</xdr:row>
                    <xdr:rowOff>9525</xdr:rowOff>
                  </to>
                </anchor>
              </controlPr>
            </control>
          </mc:Choice>
        </mc:AlternateContent>
        <mc:AlternateContent xmlns:mc="http://schemas.openxmlformats.org/markup-compatibility/2006">
          <mc:Choice Requires="x14">
            <control shapeId="1232" r:id="rId26" name="Check Box 208">
              <controlPr defaultSize="0" autoFill="0" autoLine="0" autoPict="0" altText="Onay Kutusu">
                <anchor moveWithCells="1">
                  <from>
                    <xdr:col>0</xdr:col>
                    <xdr:colOff>266700</xdr:colOff>
                    <xdr:row>49</xdr:row>
                    <xdr:rowOff>9525</xdr:rowOff>
                  </from>
                  <to>
                    <xdr:col>0</xdr:col>
                    <xdr:colOff>571500</xdr:colOff>
                    <xdr:row>50</xdr:row>
                    <xdr:rowOff>9525</xdr:rowOff>
                  </to>
                </anchor>
              </controlPr>
            </control>
          </mc:Choice>
        </mc:AlternateContent>
        <mc:AlternateContent xmlns:mc="http://schemas.openxmlformats.org/markup-compatibility/2006">
          <mc:Choice Requires="x14">
            <control shapeId="1233" r:id="rId27" name="Check Box 209">
              <controlPr defaultSize="0" autoFill="0" autoLine="0" autoPict="0" altText="Onay Kutusu">
                <anchor moveWithCells="1">
                  <from>
                    <xdr:col>0</xdr:col>
                    <xdr:colOff>266700</xdr:colOff>
                    <xdr:row>50</xdr:row>
                    <xdr:rowOff>9525</xdr:rowOff>
                  </from>
                  <to>
                    <xdr:col>0</xdr:col>
                    <xdr:colOff>571500</xdr:colOff>
                    <xdr:row>51</xdr:row>
                    <xdr:rowOff>9525</xdr:rowOff>
                  </to>
                </anchor>
              </controlPr>
            </control>
          </mc:Choice>
        </mc:AlternateContent>
        <mc:AlternateContent xmlns:mc="http://schemas.openxmlformats.org/markup-compatibility/2006">
          <mc:Choice Requires="x14">
            <control shapeId="1234" r:id="rId28" name="Check Box 210">
              <controlPr defaultSize="0" autoFill="0" autoLine="0" autoPict="0" altText="Onay Kutusu">
                <anchor moveWithCells="1">
                  <from>
                    <xdr:col>0</xdr:col>
                    <xdr:colOff>266700</xdr:colOff>
                    <xdr:row>51</xdr:row>
                    <xdr:rowOff>9525</xdr:rowOff>
                  </from>
                  <to>
                    <xdr:col>0</xdr:col>
                    <xdr:colOff>571500</xdr:colOff>
                    <xdr:row>52</xdr:row>
                    <xdr:rowOff>9525</xdr:rowOff>
                  </to>
                </anchor>
              </controlPr>
            </control>
          </mc:Choice>
        </mc:AlternateContent>
        <mc:AlternateContent xmlns:mc="http://schemas.openxmlformats.org/markup-compatibility/2006">
          <mc:Choice Requires="x14">
            <control shapeId="1235" r:id="rId29" name="Check Box 211">
              <controlPr defaultSize="0" autoFill="0" autoLine="0" autoPict="0" altText="Onay Kutusu">
                <anchor moveWithCells="1">
                  <from>
                    <xdr:col>0</xdr:col>
                    <xdr:colOff>266700</xdr:colOff>
                    <xdr:row>52</xdr:row>
                    <xdr:rowOff>9525</xdr:rowOff>
                  </from>
                  <to>
                    <xdr:col>0</xdr:col>
                    <xdr:colOff>571500</xdr:colOff>
                    <xdr:row>53</xdr:row>
                    <xdr:rowOff>9525</xdr:rowOff>
                  </to>
                </anchor>
              </controlPr>
            </control>
          </mc:Choice>
        </mc:AlternateContent>
        <mc:AlternateContent xmlns:mc="http://schemas.openxmlformats.org/markup-compatibility/2006">
          <mc:Choice Requires="x14">
            <control shapeId="1236" r:id="rId30" name="Check Box 212">
              <controlPr defaultSize="0" autoFill="0" autoLine="0" autoPict="0" altText="Onay Kutusu">
                <anchor moveWithCells="1">
                  <from>
                    <xdr:col>0</xdr:col>
                    <xdr:colOff>266700</xdr:colOff>
                    <xdr:row>53</xdr:row>
                    <xdr:rowOff>9525</xdr:rowOff>
                  </from>
                  <to>
                    <xdr:col>0</xdr:col>
                    <xdr:colOff>571500</xdr:colOff>
                    <xdr:row>54</xdr:row>
                    <xdr:rowOff>9525</xdr:rowOff>
                  </to>
                </anchor>
              </controlPr>
            </control>
          </mc:Choice>
        </mc:AlternateContent>
        <mc:AlternateContent xmlns:mc="http://schemas.openxmlformats.org/markup-compatibility/2006">
          <mc:Choice Requires="x14">
            <control shapeId="1237" r:id="rId31" name="Check Box 213">
              <controlPr defaultSize="0" autoFill="0" autoLine="0" autoPict="0" altText="Onay Kutusu">
                <anchor moveWithCells="1">
                  <from>
                    <xdr:col>0</xdr:col>
                    <xdr:colOff>266700</xdr:colOff>
                    <xdr:row>54</xdr:row>
                    <xdr:rowOff>9525</xdr:rowOff>
                  </from>
                  <to>
                    <xdr:col>0</xdr:col>
                    <xdr:colOff>571500</xdr:colOff>
                    <xdr:row>55</xdr:row>
                    <xdr:rowOff>9525</xdr:rowOff>
                  </to>
                </anchor>
              </controlPr>
            </control>
          </mc:Choice>
        </mc:AlternateContent>
        <mc:AlternateContent xmlns:mc="http://schemas.openxmlformats.org/markup-compatibility/2006">
          <mc:Choice Requires="x14">
            <control shapeId="1238" r:id="rId32" name="Check Box 214">
              <controlPr defaultSize="0" autoFill="0" autoLine="0" autoPict="0" altText="Onay Kutusu">
                <anchor moveWithCells="1">
                  <from>
                    <xdr:col>0</xdr:col>
                    <xdr:colOff>266700</xdr:colOff>
                    <xdr:row>55</xdr:row>
                    <xdr:rowOff>9525</xdr:rowOff>
                  </from>
                  <to>
                    <xdr:col>0</xdr:col>
                    <xdr:colOff>571500</xdr:colOff>
                    <xdr:row>56</xdr:row>
                    <xdr:rowOff>9525</xdr:rowOff>
                  </to>
                </anchor>
              </controlPr>
            </control>
          </mc:Choice>
        </mc:AlternateContent>
        <mc:AlternateContent xmlns:mc="http://schemas.openxmlformats.org/markup-compatibility/2006">
          <mc:Choice Requires="x14">
            <control shapeId="1239" r:id="rId33" name="Check Box 215">
              <controlPr defaultSize="0" autoFill="0" autoLine="0" autoPict="0" altText="Onay Kutusu">
                <anchor moveWithCells="1">
                  <from>
                    <xdr:col>0</xdr:col>
                    <xdr:colOff>266700</xdr:colOff>
                    <xdr:row>56</xdr:row>
                    <xdr:rowOff>9525</xdr:rowOff>
                  </from>
                  <to>
                    <xdr:col>0</xdr:col>
                    <xdr:colOff>571500</xdr:colOff>
                    <xdr:row>57</xdr:row>
                    <xdr:rowOff>9525</xdr:rowOff>
                  </to>
                </anchor>
              </controlPr>
            </control>
          </mc:Choice>
        </mc:AlternateContent>
        <mc:AlternateContent xmlns:mc="http://schemas.openxmlformats.org/markup-compatibility/2006">
          <mc:Choice Requires="x14">
            <control shapeId="1240" r:id="rId34" name="Check Box 216">
              <controlPr defaultSize="0" autoFill="0" autoLine="0" autoPict="0" altText="Onay Kutusu">
                <anchor moveWithCells="1">
                  <from>
                    <xdr:col>0</xdr:col>
                    <xdr:colOff>266700</xdr:colOff>
                    <xdr:row>57</xdr:row>
                    <xdr:rowOff>9525</xdr:rowOff>
                  </from>
                  <to>
                    <xdr:col>0</xdr:col>
                    <xdr:colOff>571500</xdr:colOff>
                    <xdr:row>58</xdr:row>
                    <xdr:rowOff>9525</xdr:rowOff>
                  </to>
                </anchor>
              </controlPr>
            </control>
          </mc:Choice>
        </mc:AlternateContent>
        <mc:AlternateContent xmlns:mc="http://schemas.openxmlformats.org/markup-compatibility/2006">
          <mc:Choice Requires="x14">
            <control shapeId="1241" r:id="rId35" name="Check Box 217">
              <controlPr defaultSize="0" autoFill="0" autoLine="0" autoPict="0" altText="Onay Kutusu">
                <anchor moveWithCells="1">
                  <from>
                    <xdr:col>0</xdr:col>
                    <xdr:colOff>266700</xdr:colOff>
                    <xdr:row>57</xdr:row>
                    <xdr:rowOff>219075</xdr:rowOff>
                  </from>
                  <to>
                    <xdr:col>0</xdr:col>
                    <xdr:colOff>571500</xdr:colOff>
                    <xdr:row>59</xdr:row>
                    <xdr:rowOff>0</xdr:rowOff>
                  </to>
                </anchor>
              </controlPr>
            </control>
          </mc:Choice>
        </mc:AlternateContent>
        <mc:AlternateContent xmlns:mc="http://schemas.openxmlformats.org/markup-compatibility/2006">
          <mc:Choice Requires="x14">
            <control shapeId="1243" r:id="rId36" name="Check Box 219">
              <controlPr defaultSize="0" autoFill="0" autoLine="0" autoPict="0" altText="Onay Kutusu">
                <anchor moveWithCells="1">
                  <from>
                    <xdr:col>3</xdr:col>
                    <xdr:colOff>333375</xdr:colOff>
                    <xdr:row>14</xdr:row>
                    <xdr:rowOff>200025</xdr:rowOff>
                  </from>
                  <to>
                    <xdr:col>3</xdr:col>
                    <xdr:colOff>638175</xdr:colOff>
                    <xdr:row>15</xdr:row>
                    <xdr:rowOff>200025</xdr:rowOff>
                  </to>
                </anchor>
              </controlPr>
            </control>
          </mc:Choice>
        </mc:AlternateContent>
        <mc:AlternateContent xmlns:mc="http://schemas.openxmlformats.org/markup-compatibility/2006">
          <mc:Choice Requires="x14">
            <control shapeId="1244" r:id="rId37" name="Check Box 220">
              <controlPr defaultSize="0" autoFill="0" autoLine="0" autoPict="0" altText="Onay Kutusu">
                <anchor moveWithCells="1">
                  <from>
                    <xdr:col>3</xdr:col>
                    <xdr:colOff>333375</xdr:colOff>
                    <xdr:row>15</xdr:row>
                    <xdr:rowOff>200025</xdr:rowOff>
                  </from>
                  <to>
                    <xdr:col>3</xdr:col>
                    <xdr:colOff>638175</xdr:colOff>
                    <xdr:row>16</xdr:row>
                    <xdr:rowOff>200025</xdr:rowOff>
                  </to>
                </anchor>
              </controlPr>
            </control>
          </mc:Choice>
        </mc:AlternateContent>
        <mc:AlternateContent xmlns:mc="http://schemas.openxmlformats.org/markup-compatibility/2006">
          <mc:Choice Requires="x14">
            <control shapeId="1245" r:id="rId38" name="Check Box 221">
              <controlPr defaultSize="0" autoFill="0" autoLine="0" autoPict="0" altText="Onay Kutusu">
                <anchor moveWithCells="1">
                  <from>
                    <xdr:col>3</xdr:col>
                    <xdr:colOff>333375</xdr:colOff>
                    <xdr:row>16</xdr:row>
                    <xdr:rowOff>200025</xdr:rowOff>
                  </from>
                  <to>
                    <xdr:col>3</xdr:col>
                    <xdr:colOff>638175</xdr:colOff>
                    <xdr:row>17</xdr:row>
                    <xdr:rowOff>200025</xdr:rowOff>
                  </to>
                </anchor>
              </controlPr>
            </control>
          </mc:Choice>
        </mc:AlternateContent>
        <mc:AlternateContent xmlns:mc="http://schemas.openxmlformats.org/markup-compatibility/2006">
          <mc:Choice Requires="x14">
            <control shapeId="1246" r:id="rId39" name="Check Box 222">
              <controlPr defaultSize="0" autoFill="0" autoLine="0" autoPict="0" altText="Onay Kutusu">
                <anchor moveWithCells="1">
                  <from>
                    <xdr:col>3</xdr:col>
                    <xdr:colOff>333375</xdr:colOff>
                    <xdr:row>17</xdr:row>
                    <xdr:rowOff>200025</xdr:rowOff>
                  </from>
                  <to>
                    <xdr:col>3</xdr:col>
                    <xdr:colOff>638175</xdr:colOff>
                    <xdr:row>18</xdr:row>
                    <xdr:rowOff>200025</xdr:rowOff>
                  </to>
                </anchor>
              </controlPr>
            </control>
          </mc:Choice>
        </mc:AlternateContent>
        <mc:AlternateContent xmlns:mc="http://schemas.openxmlformats.org/markup-compatibility/2006">
          <mc:Choice Requires="x14">
            <control shapeId="1247" r:id="rId40" name="Check Box 223">
              <controlPr defaultSize="0" autoFill="0" autoLine="0" autoPict="0" altText="Onay Kutusu">
                <anchor moveWithCells="1">
                  <from>
                    <xdr:col>3</xdr:col>
                    <xdr:colOff>333375</xdr:colOff>
                    <xdr:row>17</xdr:row>
                    <xdr:rowOff>200025</xdr:rowOff>
                  </from>
                  <to>
                    <xdr:col>3</xdr:col>
                    <xdr:colOff>638175</xdr:colOff>
                    <xdr:row>18</xdr:row>
                    <xdr:rowOff>200025</xdr:rowOff>
                  </to>
                </anchor>
              </controlPr>
            </control>
          </mc:Choice>
        </mc:AlternateContent>
        <mc:AlternateContent xmlns:mc="http://schemas.openxmlformats.org/markup-compatibility/2006">
          <mc:Choice Requires="x14">
            <control shapeId="1248" r:id="rId41" name="Check Box 224">
              <controlPr defaultSize="0" autoFill="0" autoLine="0" autoPict="0" altText="Onay Kutusu">
                <anchor moveWithCells="1">
                  <from>
                    <xdr:col>3</xdr:col>
                    <xdr:colOff>333375</xdr:colOff>
                    <xdr:row>18</xdr:row>
                    <xdr:rowOff>200025</xdr:rowOff>
                  </from>
                  <to>
                    <xdr:col>3</xdr:col>
                    <xdr:colOff>638175</xdr:colOff>
                    <xdr:row>19</xdr:row>
                    <xdr:rowOff>200025</xdr:rowOff>
                  </to>
                </anchor>
              </controlPr>
            </control>
          </mc:Choice>
        </mc:AlternateContent>
        <mc:AlternateContent xmlns:mc="http://schemas.openxmlformats.org/markup-compatibility/2006">
          <mc:Choice Requires="x14">
            <control shapeId="1249" r:id="rId42" name="Check Box 225">
              <controlPr defaultSize="0" autoFill="0" autoLine="0" autoPict="0" altText="Onay Kutusu">
                <anchor moveWithCells="1">
                  <from>
                    <xdr:col>3</xdr:col>
                    <xdr:colOff>333375</xdr:colOff>
                    <xdr:row>18</xdr:row>
                    <xdr:rowOff>200025</xdr:rowOff>
                  </from>
                  <to>
                    <xdr:col>3</xdr:col>
                    <xdr:colOff>638175</xdr:colOff>
                    <xdr:row>19</xdr:row>
                    <xdr:rowOff>200025</xdr:rowOff>
                  </to>
                </anchor>
              </controlPr>
            </control>
          </mc:Choice>
        </mc:AlternateContent>
        <mc:AlternateContent xmlns:mc="http://schemas.openxmlformats.org/markup-compatibility/2006">
          <mc:Choice Requires="x14">
            <control shapeId="1250" r:id="rId43" name="Check Box 226">
              <controlPr defaultSize="0" autoFill="0" autoLine="0" autoPict="0" altText="Onay Kutusu">
                <anchor moveWithCells="1">
                  <from>
                    <xdr:col>3</xdr:col>
                    <xdr:colOff>333375</xdr:colOff>
                    <xdr:row>19</xdr:row>
                    <xdr:rowOff>200025</xdr:rowOff>
                  </from>
                  <to>
                    <xdr:col>3</xdr:col>
                    <xdr:colOff>638175</xdr:colOff>
                    <xdr:row>20</xdr:row>
                    <xdr:rowOff>200025</xdr:rowOff>
                  </to>
                </anchor>
              </controlPr>
            </control>
          </mc:Choice>
        </mc:AlternateContent>
        <mc:AlternateContent xmlns:mc="http://schemas.openxmlformats.org/markup-compatibility/2006">
          <mc:Choice Requires="x14">
            <control shapeId="1251" r:id="rId44" name="Check Box 227">
              <controlPr defaultSize="0" autoFill="0" autoLine="0" autoPict="0" altText="Onay Kutusu">
                <anchor moveWithCells="1">
                  <from>
                    <xdr:col>3</xdr:col>
                    <xdr:colOff>333375</xdr:colOff>
                    <xdr:row>19</xdr:row>
                    <xdr:rowOff>200025</xdr:rowOff>
                  </from>
                  <to>
                    <xdr:col>3</xdr:col>
                    <xdr:colOff>638175</xdr:colOff>
                    <xdr:row>20</xdr:row>
                    <xdr:rowOff>200025</xdr:rowOff>
                  </to>
                </anchor>
              </controlPr>
            </control>
          </mc:Choice>
        </mc:AlternateContent>
        <mc:AlternateContent xmlns:mc="http://schemas.openxmlformats.org/markup-compatibility/2006">
          <mc:Choice Requires="x14">
            <control shapeId="1252" r:id="rId45" name="Check Box 228">
              <controlPr defaultSize="0" autoFill="0" autoLine="0" autoPict="0" altText="Onay Kutusu">
                <anchor moveWithCells="1">
                  <from>
                    <xdr:col>3</xdr:col>
                    <xdr:colOff>333375</xdr:colOff>
                    <xdr:row>20</xdr:row>
                    <xdr:rowOff>200025</xdr:rowOff>
                  </from>
                  <to>
                    <xdr:col>3</xdr:col>
                    <xdr:colOff>638175</xdr:colOff>
                    <xdr:row>21</xdr:row>
                    <xdr:rowOff>200025</xdr:rowOff>
                  </to>
                </anchor>
              </controlPr>
            </control>
          </mc:Choice>
        </mc:AlternateContent>
        <mc:AlternateContent xmlns:mc="http://schemas.openxmlformats.org/markup-compatibility/2006">
          <mc:Choice Requires="x14">
            <control shapeId="1253" r:id="rId46" name="Check Box 229">
              <controlPr defaultSize="0" autoFill="0" autoLine="0" autoPict="0" altText="Onay Kutusu">
                <anchor moveWithCells="1">
                  <from>
                    <xdr:col>3</xdr:col>
                    <xdr:colOff>333375</xdr:colOff>
                    <xdr:row>20</xdr:row>
                    <xdr:rowOff>200025</xdr:rowOff>
                  </from>
                  <to>
                    <xdr:col>3</xdr:col>
                    <xdr:colOff>638175</xdr:colOff>
                    <xdr:row>21</xdr:row>
                    <xdr:rowOff>200025</xdr:rowOff>
                  </to>
                </anchor>
              </controlPr>
            </control>
          </mc:Choice>
        </mc:AlternateContent>
        <mc:AlternateContent xmlns:mc="http://schemas.openxmlformats.org/markup-compatibility/2006">
          <mc:Choice Requires="x14">
            <control shapeId="1254" r:id="rId47" name="Check Box 230">
              <controlPr defaultSize="0" autoFill="0" autoLine="0" autoPict="0" altText="Onay Kutusu">
                <anchor moveWithCells="1">
                  <from>
                    <xdr:col>3</xdr:col>
                    <xdr:colOff>333375</xdr:colOff>
                    <xdr:row>21</xdr:row>
                    <xdr:rowOff>200025</xdr:rowOff>
                  </from>
                  <to>
                    <xdr:col>3</xdr:col>
                    <xdr:colOff>638175</xdr:colOff>
                    <xdr:row>22</xdr:row>
                    <xdr:rowOff>200025</xdr:rowOff>
                  </to>
                </anchor>
              </controlPr>
            </control>
          </mc:Choice>
        </mc:AlternateContent>
        <mc:AlternateContent xmlns:mc="http://schemas.openxmlformats.org/markup-compatibility/2006">
          <mc:Choice Requires="x14">
            <control shapeId="1255" r:id="rId48" name="Check Box 231">
              <controlPr defaultSize="0" autoFill="0" autoLine="0" autoPict="0" altText="Onay Kutusu">
                <anchor moveWithCells="1">
                  <from>
                    <xdr:col>3</xdr:col>
                    <xdr:colOff>333375</xdr:colOff>
                    <xdr:row>21</xdr:row>
                    <xdr:rowOff>200025</xdr:rowOff>
                  </from>
                  <to>
                    <xdr:col>3</xdr:col>
                    <xdr:colOff>638175</xdr:colOff>
                    <xdr:row>22</xdr:row>
                    <xdr:rowOff>200025</xdr:rowOff>
                  </to>
                </anchor>
              </controlPr>
            </control>
          </mc:Choice>
        </mc:AlternateContent>
        <mc:AlternateContent xmlns:mc="http://schemas.openxmlformats.org/markup-compatibility/2006">
          <mc:Choice Requires="x14">
            <control shapeId="1256" r:id="rId49" name="Check Box 232">
              <controlPr defaultSize="0" autoFill="0" autoLine="0" autoPict="0" altText="Onay Kutusu">
                <anchor moveWithCells="1">
                  <from>
                    <xdr:col>3</xdr:col>
                    <xdr:colOff>333375</xdr:colOff>
                    <xdr:row>22</xdr:row>
                    <xdr:rowOff>200025</xdr:rowOff>
                  </from>
                  <to>
                    <xdr:col>3</xdr:col>
                    <xdr:colOff>638175</xdr:colOff>
                    <xdr:row>23</xdr:row>
                    <xdr:rowOff>200025</xdr:rowOff>
                  </to>
                </anchor>
              </controlPr>
            </control>
          </mc:Choice>
        </mc:AlternateContent>
        <mc:AlternateContent xmlns:mc="http://schemas.openxmlformats.org/markup-compatibility/2006">
          <mc:Choice Requires="x14">
            <control shapeId="1257" r:id="rId50" name="Check Box 233">
              <controlPr defaultSize="0" autoFill="0" autoLine="0" autoPict="0" altText="Onay Kutusu">
                <anchor moveWithCells="1">
                  <from>
                    <xdr:col>3</xdr:col>
                    <xdr:colOff>333375</xdr:colOff>
                    <xdr:row>22</xdr:row>
                    <xdr:rowOff>200025</xdr:rowOff>
                  </from>
                  <to>
                    <xdr:col>3</xdr:col>
                    <xdr:colOff>638175</xdr:colOff>
                    <xdr:row>23</xdr:row>
                    <xdr:rowOff>200025</xdr:rowOff>
                  </to>
                </anchor>
              </controlPr>
            </control>
          </mc:Choice>
        </mc:AlternateContent>
        <mc:AlternateContent xmlns:mc="http://schemas.openxmlformats.org/markup-compatibility/2006">
          <mc:Choice Requires="x14">
            <control shapeId="1258" r:id="rId51" name="Check Box 234">
              <controlPr defaultSize="0" autoFill="0" autoLine="0" autoPict="0" altText="Onay Kutusu">
                <anchor moveWithCells="1">
                  <from>
                    <xdr:col>3</xdr:col>
                    <xdr:colOff>333375</xdr:colOff>
                    <xdr:row>23</xdr:row>
                    <xdr:rowOff>200025</xdr:rowOff>
                  </from>
                  <to>
                    <xdr:col>3</xdr:col>
                    <xdr:colOff>638175</xdr:colOff>
                    <xdr:row>24</xdr:row>
                    <xdr:rowOff>200025</xdr:rowOff>
                  </to>
                </anchor>
              </controlPr>
            </control>
          </mc:Choice>
        </mc:AlternateContent>
        <mc:AlternateContent xmlns:mc="http://schemas.openxmlformats.org/markup-compatibility/2006">
          <mc:Choice Requires="x14">
            <control shapeId="1259" r:id="rId52" name="Check Box 235">
              <controlPr defaultSize="0" autoFill="0" autoLine="0" autoPict="0" altText="Onay Kutusu">
                <anchor moveWithCells="1">
                  <from>
                    <xdr:col>3</xdr:col>
                    <xdr:colOff>333375</xdr:colOff>
                    <xdr:row>23</xdr:row>
                    <xdr:rowOff>200025</xdr:rowOff>
                  </from>
                  <to>
                    <xdr:col>3</xdr:col>
                    <xdr:colOff>638175</xdr:colOff>
                    <xdr:row>24</xdr:row>
                    <xdr:rowOff>200025</xdr:rowOff>
                  </to>
                </anchor>
              </controlPr>
            </control>
          </mc:Choice>
        </mc:AlternateContent>
        <mc:AlternateContent xmlns:mc="http://schemas.openxmlformats.org/markup-compatibility/2006">
          <mc:Choice Requires="x14">
            <control shapeId="1260" r:id="rId53" name="Check Box 236">
              <controlPr defaultSize="0" autoFill="0" autoLine="0" autoPict="0" altText="Onay Kutusu">
                <anchor moveWithCells="1">
                  <from>
                    <xdr:col>3</xdr:col>
                    <xdr:colOff>333375</xdr:colOff>
                    <xdr:row>24</xdr:row>
                    <xdr:rowOff>200025</xdr:rowOff>
                  </from>
                  <to>
                    <xdr:col>3</xdr:col>
                    <xdr:colOff>638175</xdr:colOff>
                    <xdr:row>25</xdr:row>
                    <xdr:rowOff>200025</xdr:rowOff>
                  </to>
                </anchor>
              </controlPr>
            </control>
          </mc:Choice>
        </mc:AlternateContent>
        <mc:AlternateContent xmlns:mc="http://schemas.openxmlformats.org/markup-compatibility/2006">
          <mc:Choice Requires="x14">
            <control shapeId="1261" r:id="rId54" name="Check Box 237">
              <controlPr defaultSize="0" autoFill="0" autoLine="0" autoPict="0" altText="Onay Kutusu">
                <anchor moveWithCells="1">
                  <from>
                    <xdr:col>3</xdr:col>
                    <xdr:colOff>333375</xdr:colOff>
                    <xdr:row>24</xdr:row>
                    <xdr:rowOff>200025</xdr:rowOff>
                  </from>
                  <to>
                    <xdr:col>3</xdr:col>
                    <xdr:colOff>638175</xdr:colOff>
                    <xdr:row>25</xdr:row>
                    <xdr:rowOff>200025</xdr:rowOff>
                  </to>
                </anchor>
              </controlPr>
            </control>
          </mc:Choice>
        </mc:AlternateContent>
        <mc:AlternateContent xmlns:mc="http://schemas.openxmlformats.org/markup-compatibility/2006">
          <mc:Choice Requires="x14">
            <control shapeId="1262" r:id="rId55" name="Check Box 238">
              <controlPr defaultSize="0" autoFill="0" autoLine="0" autoPict="0" altText="Onay Kutusu">
                <anchor moveWithCells="1">
                  <from>
                    <xdr:col>3</xdr:col>
                    <xdr:colOff>333375</xdr:colOff>
                    <xdr:row>25</xdr:row>
                    <xdr:rowOff>200025</xdr:rowOff>
                  </from>
                  <to>
                    <xdr:col>3</xdr:col>
                    <xdr:colOff>638175</xdr:colOff>
                    <xdr:row>26</xdr:row>
                    <xdr:rowOff>200025</xdr:rowOff>
                  </to>
                </anchor>
              </controlPr>
            </control>
          </mc:Choice>
        </mc:AlternateContent>
        <mc:AlternateContent xmlns:mc="http://schemas.openxmlformats.org/markup-compatibility/2006">
          <mc:Choice Requires="x14">
            <control shapeId="1263" r:id="rId56" name="Check Box 239">
              <controlPr defaultSize="0" autoFill="0" autoLine="0" autoPict="0" altText="Onay Kutusu">
                <anchor moveWithCells="1">
                  <from>
                    <xdr:col>3</xdr:col>
                    <xdr:colOff>333375</xdr:colOff>
                    <xdr:row>25</xdr:row>
                    <xdr:rowOff>200025</xdr:rowOff>
                  </from>
                  <to>
                    <xdr:col>3</xdr:col>
                    <xdr:colOff>638175</xdr:colOff>
                    <xdr:row>26</xdr:row>
                    <xdr:rowOff>200025</xdr:rowOff>
                  </to>
                </anchor>
              </controlPr>
            </control>
          </mc:Choice>
        </mc:AlternateContent>
        <mc:AlternateContent xmlns:mc="http://schemas.openxmlformats.org/markup-compatibility/2006">
          <mc:Choice Requires="x14">
            <control shapeId="1264" r:id="rId57" name="Check Box 240">
              <controlPr defaultSize="0" autoFill="0" autoLine="0" autoPict="0" altText="Onay Kutusu">
                <anchor moveWithCells="1">
                  <from>
                    <xdr:col>3</xdr:col>
                    <xdr:colOff>333375</xdr:colOff>
                    <xdr:row>26</xdr:row>
                    <xdr:rowOff>200025</xdr:rowOff>
                  </from>
                  <to>
                    <xdr:col>3</xdr:col>
                    <xdr:colOff>638175</xdr:colOff>
                    <xdr:row>27</xdr:row>
                    <xdr:rowOff>200025</xdr:rowOff>
                  </to>
                </anchor>
              </controlPr>
            </control>
          </mc:Choice>
        </mc:AlternateContent>
        <mc:AlternateContent xmlns:mc="http://schemas.openxmlformats.org/markup-compatibility/2006">
          <mc:Choice Requires="x14">
            <control shapeId="1265" r:id="rId58" name="Check Box 241">
              <controlPr defaultSize="0" autoFill="0" autoLine="0" autoPict="0" altText="Onay Kutusu">
                <anchor moveWithCells="1">
                  <from>
                    <xdr:col>3</xdr:col>
                    <xdr:colOff>333375</xdr:colOff>
                    <xdr:row>26</xdr:row>
                    <xdr:rowOff>200025</xdr:rowOff>
                  </from>
                  <to>
                    <xdr:col>3</xdr:col>
                    <xdr:colOff>638175</xdr:colOff>
                    <xdr:row>27</xdr:row>
                    <xdr:rowOff>200025</xdr:rowOff>
                  </to>
                </anchor>
              </controlPr>
            </control>
          </mc:Choice>
        </mc:AlternateContent>
        <mc:AlternateContent xmlns:mc="http://schemas.openxmlformats.org/markup-compatibility/2006">
          <mc:Choice Requires="x14">
            <control shapeId="1266" r:id="rId59" name="Check Box 242">
              <controlPr defaultSize="0" autoFill="0" autoLine="0" autoPict="0" altText="Onay Kutusu">
                <anchor moveWithCells="1">
                  <from>
                    <xdr:col>3</xdr:col>
                    <xdr:colOff>333375</xdr:colOff>
                    <xdr:row>27</xdr:row>
                    <xdr:rowOff>200025</xdr:rowOff>
                  </from>
                  <to>
                    <xdr:col>3</xdr:col>
                    <xdr:colOff>638175</xdr:colOff>
                    <xdr:row>28</xdr:row>
                    <xdr:rowOff>200025</xdr:rowOff>
                  </to>
                </anchor>
              </controlPr>
            </control>
          </mc:Choice>
        </mc:AlternateContent>
        <mc:AlternateContent xmlns:mc="http://schemas.openxmlformats.org/markup-compatibility/2006">
          <mc:Choice Requires="x14">
            <control shapeId="1267" r:id="rId60" name="Check Box 243">
              <controlPr defaultSize="0" autoFill="0" autoLine="0" autoPict="0" altText="Onay Kutusu">
                <anchor moveWithCells="1">
                  <from>
                    <xdr:col>3</xdr:col>
                    <xdr:colOff>333375</xdr:colOff>
                    <xdr:row>27</xdr:row>
                    <xdr:rowOff>200025</xdr:rowOff>
                  </from>
                  <to>
                    <xdr:col>3</xdr:col>
                    <xdr:colOff>638175</xdr:colOff>
                    <xdr:row>28</xdr:row>
                    <xdr:rowOff>200025</xdr:rowOff>
                  </to>
                </anchor>
              </controlPr>
            </control>
          </mc:Choice>
        </mc:AlternateContent>
        <mc:AlternateContent xmlns:mc="http://schemas.openxmlformats.org/markup-compatibility/2006">
          <mc:Choice Requires="x14">
            <control shapeId="1268" r:id="rId61" name="Check Box 244">
              <controlPr defaultSize="0" autoFill="0" autoLine="0" autoPict="0" altText="Onay Kutusu">
                <anchor moveWithCells="1">
                  <from>
                    <xdr:col>3</xdr:col>
                    <xdr:colOff>333375</xdr:colOff>
                    <xdr:row>28</xdr:row>
                    <xdr:rowOff>200025</xdr:rowOff>
                  </from>
                  <to>
                    <xdr:col>3</xdr:col>
                    <xdr:colOff>638175</xdr:colOff>
                    <xdr:row>29</xdr:row>
                    <xdr:rowOff>200025</xdr:rowOff>
                  </to>
                </anchor>
              </controlPr>
            </control>
          </mc:Choice>
        </mc:AlternateContent>
        <mc:AlternateContent xmlns:mc="http://schemas.openxmlformats.org/markup-compatibility/2006">
          <mc:Choice Requires="x14">
            <control shapeId="1269" r:id="rId62" name="Check Box 245">
              <controlPr defaultSize="0" autoFill="0" autoLine="0" autoPict="0" altText="Onay Kutusu">
                <anchor moveWithCells="1">
                  <from>
                    <xdr:col>3</xdr:col>
                    <xdr:colOff>333375</xdr:colOff>
                    <xdr:row>28</xdr:row>
                    <xdr:rowOff>200025</xdr:rowOff>
                  </from>
                  <to>
                    <xdr:col>3</xdr:col>
                    <xdr:colOff>638175</xdr:colOff>
                    <xdr:row>29</xdr:row>
                    <xdr:rowOff>200025</xdr:rowOff>
                  </to>
                </anchor>
              </controlPr>
            </control>
          </mc:Choice>
        </mc:AlternateContent>
        <mc:AlternateContent xmlns:mc="http://schemas.openxmlformats.org/markup-compatibility/2006">
          <mc:Choice Requires="x14">
            <control shapeId="1270" r:id="rId63" name="Check Box 246">
              <controlPr defaultSize="0" autoFill="0" autoLine="0" autoPict="0" altText="Onay Kutusu">
                <anchor moveWithCells="1">
                  <from>
                    <xdr:col>3</xdr:col>
                    <xdr:colOff>333375</xdr:colOff>
                    <xdr:row>29</xdr:row>
                    <xdr:rowOff>200025</xdr:rowOff>
                  </from>
                  <to>
                    <xdr:col>3</xdr:col>
                    <xdr:colOff>638175</xdr:colOff>
                    <xdr:row>30</xdr:row>
                    <xdr:rowOff>200025</xdr:rowOff>
                  </to>
                </anchor>
              </controlPr>
            </control>
          </mc:Choice>
        </mc:AlternateContent>
        <mc:AlternateContent xmlns:mc="http://schemas.openxmlformats.org/markup-compatibility/2006">
          <mc:Choice Requires="x14">
            <control shapeId="1271" r:id="rId64" name="Check Box 247">
              <controlPr defaultSize="0" autoFill="0" autoLine="0" autoPict="0" altText="Onay Kutusu">
                <anchor moveWithCells="1">
                  <from>
                    <xdr:col>3</xdr:col>
                    <xdr:colOff>333375</xdr:colOff>
                    <xdr:row>29</xdr:row>
                    <xdr:rowOff>200025</xdr:rowOff>
                  </from>
                  <to>
                    <xdr:col>3</xdr:col>
                    <xdr:colOff>638175</xdr:colOff>
                    <xdr:row>30</xdr:row>
                    <xdr:rowOff>200025</xdr:rowOff>
                  </to>
                </anchor>
              </controlPr>
            </control>
          </mc:Choice>
        </mc:AlternateContent>
        <mc:AlternateContent xmlns:mc="http://schemas.openxmlformats.org/markup-compatibility/2006">
          <mc:Choice Requires="x14">
            <control shapeId="1272" r:id="rId65" name="Check Box 248">
              <controlPr defaultSize="0" autoFill="0" autoLine="0" autoPict="0" altText="Onay Kutusu">
                <anchor moveWithCells="1">
                  <from>
                    <xdr:col>3</xdr:col>
                    <xdr:colOff>333375</xdr:colOff>
                    <xdr:row>30</xdr:row>
                    <xdr:rowOff>200025</xdr:rowOff>
                  </from>
                  <to>
                    <xdr:col>3</xdr:col>
                    <xdr:colOff>638175</xdr:colOff>
                    <xdr:row>31</xdr:row>
                    <xdr:rowOff>200025</xdr:rowOff>
                  </to>
                </anchor>
              </controlPr>
            </control>
          </mc:Choice>
        </mc:AlternateContent>
        <mc:AlternateContent xmlns:mc="http://schemas.openxmlformats.org/markup-compatibility/2006">
          <mc:Choice Requires="x14">
            <control shapeId="1273" r:id="rId66" name="Check Box 249">
              <controlPr defaultSize="0" autoFill="0" autoLine="0" autoPict="0" altText="Onay Kutusu">
                <anchor moveWithCells="1">
                  <from>
                    <xdr:col>3</xdr:col>
                    <xdr:colOff>333375</xdr:colOff>
                    <xdr:row>30</xdr:row>
                    <xdr:rowOff>200025</xdr:rowOff>
                  </from>
                  <to>
                    <xdr:col>3</xdr:col>
                    <xdr:colOff>638175</xdr:colOff>
                    <xdr:row>31</xdr:row>
                    <xdr:rowOff>200025</xdr:rowOff>
                  </to>
                </anchor>
              </controlPr>
            </control>
          </mc:Choice>
        </mc:AlternateContent>
        <mc:AlternateContent xmlns:mc="http://schemas.openxmlformats.org/markup-compatibility/2006">
          <mc:Choice Requires="x14">
            <control shapeId="1274" r:id="rId67" name="Check Box 250">
              <controlPr defaultSize="0" autoFill="0" autoLine="0" autoPict="0" altText="Onay Kutusu">
                <anchor moveWithCells="1">
                  <from>
                    <xdr:col>3</xdr:col>
                    <xdr:colOff>333375</xdr:colOff>
                    <xdr:row>43</xdr:row>
                    <xdr:rowOff>200025</xdr:rowOff>
                  </from>
                  <to>
                    <xdr:col>3</xdr:col>
                    <xdr:colOff>638175</xdr:colOff>
                    <xdr:row>44</xdr:row>
                    <xdr:rowOff>200025</xdr:rowOff>
                  </to>
                </anchor>
              </controlPr>
            </control>
          </mc:Choice>
        </mc:AlternateContent>
        <mc:AlternateContent xmlns:mc="http://schemas.openxmlformats.org/markup-compatibility/2006">
          <mc:Choice Requires="x14">
            <control shapeId="1275" r:id="rId68" name="Check Box 251">
              <controlPr defaultSize="0" autoFill="0" autoLine="0" autoPict="0" altText="Onay Kutusu">
                <anchor moveWithCells="1">
                  <from>
                    <xdr:col>3</xdr:col>
                    <xdr:colOff>333375</xdr:colOff>
                    <xdr:row>43</xdr:row>
                    <xdr:rowOff>200025</xdr:rowOff>
                  </from>
                  <to>
                    <xdr:col>3</xdr:col>
                    <xdr:colOff>638175</xdr:colOff>
                    <xdr:row>44</xdr:row>
                    <xdr:rowOff>200025</xdr:rowOff>
                  </to>
                </anchor>
              </controlPr>
            </control>
          </mc:Choice>
        </mc:AlternateContent>
        <mc:AlternateContent xmlns:mc="http://schemas.openxmlformats.org/markup-compatibility/2006">
          <mc:Choice Requires="x14">
            <control shapeId="1276" r:id="rId69" name="Check Box 252">
              <controlPr defaultSize="0" autoFill="0" autoLine="0" autoPict="0" altText="Onay Kutusu">
                <anchor moveWithCells="1">
                  <from>
                    <xdr:col>3</xdr:col>
                    <xdr:colOff>333375</xdr:colOff>
                    <xdr:row>44</xdr:row>
                    <xdr:rowOff>200025</xdr:rowOff>
                  </from>
                  <to>
                    <xdr:col>3</xdr:col>
                    <xdr:colOff>638175</xdr:colOff>
                    <xdr:row>45</xdr:row>
                    <xdr:rowOff>200025</xdr:rowOff>
                  </to>
                </anchor>
              </controlPr>
            </control>
          </mc:Choice>
        </mc:AlternateContent>
        <mc:AlternateContent xmlns:mc="http://schemas.openxmlformats.org/markup-compatibility/2006">
          <mc:Choice Requires="x14">
            <control shapeId="1277" r:id="rId70" name="Check Box 253">
              <controlPr defaultSize="0" autoFill="0" autoLine="0" autoPict="0" altText="Onay Kutusu">
                <anchor moveWithCells="1">
                  <from>
                    <xdr:col>3</xdr:col>
                    <xdr:colOff>333375</xdr:colOff>
                    <xdr:row>44</xdr:row>
                    <xdr:rowOff>200025</xdr:rowOff>
                  </from>
                  <to>
                    <xdr:col>3</xdr:col>
                    <xdr:colOff>638175</xdr:colOff>
                    <xdr:row>45</xdr:row>
                    <xdr:rowOff>200025</xdr:rowOff>
                  </to>
                </anchor>
              </controlPr>
            </control>
          </mc:Choice>
        </mc:AlternateContent>
        <mc:AlternateContent xmlns:mc="http://schemas.openxmlformats.org/markup-compatibility/2006">
          <mc:Choice Requires="x14">
            <control shapeId="1278" r:id="rId71" name="Check Box 254">
              <controlPr defaultSize="0" autoFill="0" autoLine="0" autoPict="0" altText="Onay Kutusu">
                <anchor moveWithCells="1">
                  <from>
                    <xdr:col>3</xdr:col>
                    <xdr:colOff>333375</xdr:colOff>
                    <xdr:row>45</xdr:row>
                    <xdr:rowOff>200025</xdr:rowOff>
                  </from>
                  <to>
                    <xdr:col>3</xdr:col>
                    <xdr:colOff>638175</xdr:colOff>
                    <xdr:row>46</xdr:row>
                    <xdr:rowOff>200025</xdr:rowOff>
                  </to>
                </anchor>
              </controlPr>
            </control>
          </mc:Choice>
        </mc:AlternateContent>
        <mc:AlternateContent xmlns:mc="http://schemas.openxmlformats.org/markup-compatibility/2006">
          <mc:Choice Requires="x14">
            <control shapeId="1279" r:id="rId72" name="Check Box 255">
              <controlPr defaultSize="0" autoFill="0" autoLine="0" autoPict="0" altText="Onay Kutusu">
                <anchor moveWithCells="1">
                  <from>
                    <xdr:col>3</xdr:col>
                    <xdr:colOff>333375</xdr:colOff>
                    <xdr:row>45</xdr:row>
                    <xdr:rowOff>200025</xdr:rowOff>
                  </from>
                  <to>
                    <xdr:col>3</xdr:col>
                    <xdr:colOff>638175</xdr:colOff>
                    <xdr:row>46</xdr:row>
                    <xdr:rowOff>200025</xdr:rowOff>
                  </to>
                </anchor>
              </controlPr>
            </control>
          </mc:Choice>
        </mc:AlternateContent>
        <mc:AlternateContent xmlns:mc="http://schemas.openxmlformats.org/markup-compatibility/2006">
          <mc:Choice Requires="x14">
            <control shapeId="1280" r:id="rId73" name="Check Box 256">
              <controlPr defaultSize="0" autoFill="0" autoLine="0" autoPict="0" altText="Onay Kutusu">
                <anchor moveWithCells="1">
                  <from>
                    <xdr:col>3</xdr:col>
                    <xdr:colOff>333375</xdr:colOff>
                    <xdr:row>46</xdr:row>
                    <xdr:rowOff>200025</xdr:rowOff>
                  </from>
                  <to>
                    <xdr:col>3</xdr:col>
                    <xdr:colOff>638175</xdr:colOff>
                    <xdr:row>47</xdr:row>
                    <xdr:rowOff>200025</xdr:rowOff>
                  </to>
                </anchor>
              </controlPr>
            </control>
          </mc:Choice>
        </mc:AlternateContent>
        <mc:AlternateContent xmlns:mc="http://schemas.openxmlformats.org/markup-compatibility/2006">
          <mc:Choice Requires="x14">
            <control shapeId="1281" r:id="rId74" name="Check Box 257">
              <controlPr defaultSize="0" autoFill="0" autoLine="0" autoPict="0" altText="Onay Kutusu">
                <anchor moveWithCells="1">
                  <from>
                    <xdr:col>3</xdr:col>
                    <xdr:colOff>333375</xdr:colOff>
                    <xdr:row>46</xdr:row>
                    <xdr:rowOff>200025</xdr:rowOff>
                  </from>
                  <to>
                    <xdr:col>3</xdr:col>
                    <xdr:colOff>638175</xdr:colOff>
                    <xdr:row>47</xdr:row>
                    <xdr:rowOff>200025</xdr:rowOff>
                  </to>
                </anchor>
              </controlPr>
            </control>
          </mc:Choice>
        </mc:AlternateContent>
        <mc:AlternateContent xmlns:mc="http://schemas.openxmlformats.org/markup-compatibility/2006">
          <mc:Choice Requires="x14">
            <control shapeId="1282" r:id="rId75" name="Check Box 258">
              <controlPr defaultSize="0" autoFill="0" autoLine="0" autoPict="0" altText="Onay Kutusu">
                <anchor moveWithCells="1">
                  <from>
                    <xdr:col>3</xdr:col>
                    <xdr:colOff>333375</xdr:colOff>
                    <xdr:row>47</xdr:row>
                    <xdr:rowOff>200025</xdr:rowOff>
                  </from>
                  <to>
                    <xdr:col>3</xdr:col>
                    <xdr:colOff>638175</xdr:colOff>
                    <xdr:row>48</xdr:row>
                    <xdr:rowOff>200025</xdr:rowOff>
                  </to>
                </anchor>
              </controlPr>
            </control>
          </mc:Choice>
        </mc:AlternateContent>
        <mc:AlternateContent xmlns:mc="http://schemas.openxmlformats.org/markup-compatibility/2006">
          <mc:Choice Requires="x14">
            <control shapeId="1283" r:id="rId76" name="Check Box 259">
              <controlPr defaultSize="0" autoFill="0" autoLine="0" autoPict="0" altText="Onay Kutusu">
                <anchor moveWithCells="1">
                  <from>
                    <xdr:col>3</xdr:col>
                    <xdr:colOff>333375</xdr:colOff>
                    <xdr:row>47</xdr:row>
                    <xdr:rowOff>200025</xdr:rowOff>
                  </from>
                  <to>
                    <xdr:col>3</xdr:col>
                    <xdr:colOff>638175</xdr:colOff>
                    <xdr:row>48</xdr:row>
                    <xdr:rowOff>200025</xdr:rowOff>
                  </to>
                </anchor>
              </controlPr>
            </control>
          </mc:Choice>
        </mc:AlternateContent>
        <mc:AlternateContent xmlns:mc="http://schemas.openxmlformats.org/markup-compatibility/2006">
          <mc:Choice Requires="x14">
            <control shapeId="1284" r:id="rId77" name="Check Box 260">
              <controlPr defaultSize="0" autoFill="0" autoLine="0" autoPict="0" altText="Onay Kutusu">
                <anchor moveWithCells="1">
                  <from>
                    <xdr:col>3</xdr:col>
                    <xdr:colOff>333375</xdr:colOff>
                    <xdr:row>48</xdr:row>
                    <xdr:rowOff>200025</xdr:rowOff>
                  </from>
                  <to>
                    <xdr:col>3</xdr:col>
                    <xdr:colOff>638175</xdr:colOff>
                    <xdr:row>49</xdr:row>
                    <xdr:rowOff>200025</xdr:rowOff>
                  </to>
                </anchor>
              </controlPr>
            </control>
          </mc:Choice>
        </mc:AlternateContent>
        <mc:AlternateContent xmlns:mc="http://schemas.openxmlformats.org/markup-compatibility/2006">
          <mc:Choice Requires="x14">
            <control shapeId="1285" r:id="rId78" name="Check Box 261">
              <controlPr defaultSize="0" autoFill="0" autoLine="0" autoPict="0" altText="Onay Kutusu">
                <anchor moveWithCells="1">
                  <from>
                    <xdr:col>3</xdr:col>
                    <xdr:colOff>333375</xdr:colOff>
                    <xdr:row>48</xdr:row>
                    <xdr:rowOff>200025</xdr:rowOff>
                  </from>
                  <to>
                    <xdr:col>3</xdr:col>
                    <xdr:colOff>638175</xdr:colOff>
                    <xdr:row>49</xdr:row>
                    <xdr:rowOff>200025</xdr:rowOff>
                  </to>
                </anchor>
              </controlPr>
            </control>
          </mc:Choice>
        </mc:AlternateContent>
        <mc:AlternateContent xmlns:mc="http://schemas.openxmlformats.org/markup-compatibility/2006">
          <mc:Choice Requires="x14">
            <control shapeId="1286" r:id="rId79" name="Check Box 262">
              <controlPr defaultSize="0" autoFill="0" autoLine="0" autoPict="0" altText="Onay Kutusu">
                <anchor moveWithCells="1">
                  <from>
                    <xdr:col>3</xdr:col>
                    <xdr:colOff>333375</xdr:colOff>
                    <xdr:row>49</xdr:row>
                    <xdr:rowOff>200025</xdr:rowOff>
                  </from>
                  <to>
                    <xdr:col>3</xdr:col>
                    <xdr:colOff>638175</xdr:colOff>
                    <xdr:row>50</xdr:row>
                    <xdr:rowOff>200025</xdr:rowOff>
                  </to>
                </anchor>
              </controlPr>
            </control>
          </mc:Choice>
        </mc:AlternateContent>
        <mc:AlternateContent xmlns:mc="http://schemas.openxmlformats.org/markup-compatibility/2006">
          <mc:Choice Requires="x14">
            <control shapeId="1287" r:id="rId80" name="Check Box 263">
              <controlPr defaultSize="0" autoFill="0" autoLine="0" autoPict="0" altText="Onay Kutusu">
                <anchor moveWithCells="1">
                  <from>
                    <xdr:col>3</xdr:col>
                    <xdr:colOff>333375</xdr:colOff>
                    <xdr:row>49</xdr:row>
                    <xdr:rowOff>200025</xdr:rowOff>
                  </from>
                  <to>
                    <xdr:col>3</xdr:col>
                    <xdr:colOff>638175</xdr:colOff>
                    <xdr:row>50</xdr:row>
                    <xdr:rowOff>200025</xdr:rowOff>
                  </to>
                </anchor>
              </controlPr>
            </control>
          </mc:Choice>
        </mc:AlternateContent>
        <mc:AlternateContent xmlns:mc="http://schemas.openxmlformats.org/markup-compatibility/2006">
          <mc:Choice Requires="x14">
            <control shapeId="1288" r:id="rId81" name="Check Box 264">
              <controlPr defaultSize="0" autoFill="0" autoLine="0" autoPict="0" altText="Onay Kutusu">
                <anchor moveWithCells="1">
                  <from>
                    <xdr:col>3</xdr:col>
                    <xdr:colOff>333375</xdr:colOff>
                    <xdr:row>50</xdr:row>
                    <xdr:rowOff>200025</xdr:rowOff>
                  </from>
                  <to>
                    <xdr:col>3</xdr:col>
                    <xdr:colOff>638175</xdr:colOff>
                    <xdr:row>51</xdr:row>
                    <xdr:rowOff>200025</xdr:rowOff>
                  </to>
                </anchor>
              </controlPr>
            </control>
          </mc:Choice>
        </mc:AlternateContent>
        <mc:AlternateContent xmlns:mc="http://schemas.openxmlformats.org/markup-compatibility/2006">
          <mc:Choice Requires="x14">
            <control shapeId="1289" r:id="rId82" name="Check Box 265">
              <controlPr defaultSize="0" autoFill="0" autoLine="0" autoPict="0" altText="Onay Kutusu">
                <anchor moveWithCells="1">
                  <from>
                    <xdr:col>3</xdr:col>
                    <xdr:colOff>333375</xdr:colOff>
                    <xdr:row>50</xdr:row>
                    <xdr:rowOff>200025</xdr:rowOff>
                  </from>
                  <to>
                    <xdr:col>3</xdr:col>
                    <xdr:colOff>638175</xdr:colOff>
                    <xdr:row>51</xdr:row>
                    <xdr:rowOff>200025</xdr:rowOff>
                  </to>
                </anchor>
              </controlPr>
            </control>
          </mc:Choice>
        </mc:AlternateContent>
        <mc:AlternateContent xmlns:mc="http://schemas.openxmlformats.org/markup-compatibility/2006">
          <mc:Choice Requires="x14">
            <control shapeId="1290" r:id="rId83" name="Check Box 266">
              <controlPr defaultSize="0" autoFill="0" autoLine="0" autoPict="0" altText="Onay Kutusu">
                <anchor moveWithCells="1">
                  <from>
                    <xdr:col>3</xdr:col>
                    <xdr:colOff>333375</xdr:colOff>
                    <xdr:row>51</xdr:row>
                    <xdr:rowOff>200025</xdr:rowOff>
                  </from>
                  <to>
                    <xdr:col>3</xdr:col>
                    <xdr:colOff>638175</xdr:colOff>
                    <xdr:row>52</xdr:row>
                    <xdr:rowOff>200025</xdr:rowOff>
                  </to>
                </anchor>
              </controlPr>
            </control>
          </mc:Choice>
        </mc:AlternateContent>
        <mc:AlternateContent xmlns:mc="http://schemas.openxmlformats.org/markup-compatibility/2006">
          <mc:Choice Requires="x14">
            <control shapeId="1291" r:id="rId84" name="Check Box 267">
              <controlPr defaultSize="0" autoFill="0" autoLine="0" autoPict="0" altText="Onay Kutusu">
                <anchor moveWithCells="1">
                  <from>
                    <xdr:col>3</xdr:col>
                    <xdr:colOff>333375</xdr:colOff>
                    <xdr:row>51</xdr:row>
                    <xdr:rowOff>200025</xdr:rowOff>
                  </from>
                  <to>
                    <xdr:col>3</xdr:col>
                    <xdr:colOff>638175</xdr:colOff>
                    <xdr:row>52</xdr:row>
                    <xdr:rowOff>200025</xdr:rowOff>
                  </to>
                </anchor>
              </controlPr>
            </control>
          </mc:Choice>
        </mc:AlternateContent>
        <mc:AlternateContent xmlns:mc="http://schemas.openxmlformats.org/markup-compatibility/2006">
          <mc:Choice Requires="x14">
            <control shapeId="1292" r:id="rId85" name="Check Box 268">
              <controlPr defaultSize="0" autoFill="0" autoLine="0" autoPict="0" altText="Onay Kutusu">
                <anchor moveWithCells="1">
                  <from>
                    <xdr:col>3</xdr:col>
                    <xdr:colOff>333375</xdr:colOff>
                    <xdr:row>52</xdr:row>
                    <xdr:rowOff>200025</xdr:rowOff>
                  </from>
                  <to>
                    <xdr:col>3</xdr:col>
                    <xdr:colOff>638175</xdr:colOff>
                    <xdr:row>53</xdr:row>
                    <xdr:rowOff>200025</xdr:rowOff>
                  </to>
                </anchor>
              </controlPr>
            </control>
          </mc:Choice>
        </mc:AlternateContent>
        <mc:AlternateContent xmlns:mc="http://schemas.openxmlformats.org/markup-compatibility/2006">
          <mc:Choice Requires="x14">
            <control shapeId="1293" r:id="rId86" name="Check Box 269">
              <controlPr defaultSize="0" autoFill="0" autoLine="0" autoPict="0" altText="Onay Kutusu">
                <anchor moveWithCells="1">
                  <from>
                    <xdr:col>3</xdr:col>
                    <xdr:colOff>333375</xdr:colOff>
                    <xdr:row>52</xdr:row>
                    <xdr:rowOff>200025</xdr:rowOff>
                  </from>
                  <to>
                    <xdr:col>3</xdr:col>
                    <xdr:colOff>638175</xdr:colOff>
                    <xdr:row>53</xdr:row>
                    <xdr:rowOff>200025</xdr:rowOff>
                  </to>
                </anchor>
              </controlPr>
            </control>
          </mc:Choice>
        </mc:AlternateContent>
        <mc:AlternateContent xmlns:mc="http://schemas.openxmlformats.org/markup-compatibility/2006">
          <mc:Choice Requires="x14">
            <control shapeId="1294" r:id="rId87" name="Check Box 270">
              <controlPr defaultSize="0" autoFill="0" autoLine="0" autoPict="0" altText="Onay Kutusu">
                <anchor moveWithCells="1">
                  <from>
                    <xdr:col>3</xdr:col>
                    <xdr:colOff>333375</xdr:colOff>
                    <xdr:row>53</xdr:row>
                    <xdr:rowOff>200025</xdr:rowOff>
                  </from>
                  <to>
                    <xdr:col>3</xdr:col>
                    <xdr:colOff>638175</xdr:colOff>
                    <xdr:row>54</xdr:row>
                    <xdr:rowOff>200025</xdr:rowOff>
                  </to>
                </anchor>
              </controlPr>
            </control>
          </mc:Choice>
        </mc:AlternateContent>
        <mc:AlternateContent xmlns:mc="http://schemas.openxmlformats.org/markup-compatibility/2006">
          <mc:Choice Requires="x14">
            <control shapeId="1295" r:id="rId88" name="Check Box 271">
              <controlPr defaultSize="0" autoFill="0" autoLine="0" autoPict="0" altText="Onay Kutusu">
                <anchor moveWithCells="1">
                  <from>
                    <xdr:col>3</xdr:col>
                    <xdr:colOff>333375</xdr:colOff>
                    <xdr:row>53</xdr:row>
                    <xdr:rowOff>200025</xdr:rowOff>
                  </from>
                  <to>
                    <xdr:col>3</xdr:col>
                    <xdr:colOff>638175</xdr:colOff>
                    <xdr:row>54</xdr:row>
                    <xdr:rowOff>200025</xdr:rowOff>
                  </to>
                </anchor>
              </controlPr>
            </control>
          </mc:Choice>
        </mc:AlternateContent>
        <mc:AlternateContent xmlns:mc="http://schemas.openxmlformats.org/markup-compatibility/2006">
          <mc:Choice Requires="x14">
            <control shapeId="1296" r:id="rId89" name="Check Box 272">
              <controlPr defaultSize="0" autoFill="0" autoLine="0" autoPict="0" altText="Onay Kutusu">
                <anchor moveWithCells="1">
                  <from>
                    <xdr:col>3</xdr:col>
                    <xdr:colOff>333375</xdr:colOff>
                    <xdr:row>54</xdr:row>
                    <xdr:rowOff>200025</xdr:rowOff>
                  </from>
                  <to>
                    <xdr:col>3</xdr:col>
                    <xdr:colOff>638175</xdr:colOff>
                    <xdr:row>55</xdr:row>
                    <xdr:rowOff>200025</xdr:rowOff>
                  </to>
                </anchor>
              </controlPr>
            </control>
          </mc:Choice>
        </mc:AlternateContent>
        <mc:AlternateContent xmlns:mc="http://schemas.openxmlformats.org/markup-compatibility/2006">
          <mc:Choice Requires="x14">
            <control shapeId="1297" r:id="rId90" name="Check Box 273">
              <controlPr defaultSize="0" autoFill="0" autoLine="0" autoPict="0" altText="Onay Kutusu">
                <anchor moveWithCells="1">
                  <from>
                    <xdr:col>3</xdr:col>
                    <xdr:colOff>333375</xdr:colOff>
                    <xdr:row>54</xdr:row>
                    <xdr:rowOff>200025</xdr:rowOff>
                  </from>
                  <to>
                    <xdr:col>3</xdr:col>
                    <xdr:colOff>638175</xdr:colOff>
                    <xdr:row>55</xdr:row>
                    <xdr:rowOff>200025</xdr:rowOff>
                  </to>
                </anchor>
              </controlPr>
            </control>
          </mc:Choice>
        </mc:AlternateContent>
        <mc:AlternateContent xmlns:mc="http://schemas.openxmlformats.org/markup-compatibility/2006">
          <mc:Choice Requires="x14">
            <control shapeId="1298" r:id="rId91" name="Check Box 274">
              <controlPr defaultSize="0" autoFill="0" autoLine="0" autoPict="0" altText="Onay Kutusu">
                <anchor moveWithCells="1">
                  <from>
                    <xdr:col>3</xdr:col>
                    <xdr:colOff>333375</xdr:colOff>
                    <xdr:row>55</xdr:row>
                    <xdr:rowOff>200025</xdr:rowOff>
                  </from>
                  <to>
                    <xdr:col>3</xdr:col>
                    <xdr:colOff>638175</xdr:colOff>
                    <xdr:row>56</xdr:row>
                    <xdr:rowOff>200025</xdr:rowOff>
                  </to>
                </anchor>
              </controlPr>
            </control>
          </mc:Choice>
        </mc:AlternateContent>
        <mc:AlternateContent xmlns:mc="http://schemas.openxmlformats.org/markup-compatibility/2006">
          <mc:Choice Requires="x14">
            <control shapeId="1299" r:id="rId92" name="Check Box 275">
              <controlPr defaultSize="0" autoFill="0" autoLine="0" autoPict="0" altText="Onay Kutusu">
                <anchor moveWithCells="1">
                  <from>
                    <xdr:col>3</xdr:col>
                    <xdr:colOff>333375</xdr:colOff>
                    <xdr:row>55</xdr:row>
                    <xdr:rowOff>200025</xdr:rowOff>
                  </from>
                  <to>
                    <xdr:col>3</xdr:col>
                    <xdr:colOff>638175</xdr:colOff>
                    <xdr:row>56</xdr:row>
                    <xdr:rowOff>200025</xdr:rowOff>
                  </to>
                </anchor>
              </controlPr>
            </control>
          </mc:Choice>
        </mc:AlternateContent>
        <mc:AlternateContent xmlns:mc="http://schemas.openxmlformats.org/markup-compatibility/2006">
          <mc:Choice Requires="x14">
            <control shapeId="1300" r:id="rId93" name="Check Box 276">
              <controlPr defaultSize="0" autoFill="0" autoLine="0" autoPict="0" altText="Onay Kutusu">
                <anchor moveWithCells="1">
                  <from>
                    <xdr:col>3</xdr:col>
                    <xdr:colOff>333375</xdr:colOff>
                    <xdr:row>56</xdr:row>
                    <xdr:rowOff>200025</xdr:rowOff>
                  </from>
                  <to>
                    <xdr:col>3</xdr:col>
                    <xdr:colOff>638175</xdr:colOff>
                    <xdr:row>57</xdr:row>
                    <xdr:rowOff>200025</xdr:rowOff>
                  </to>
                </anchor>
              </controlPr>
            </control>
          </mc:Choice>
        </mc:AlternateContent>
        <mc:AlternateContent xmlns:mc="http://schemas.openxmlformats.org/markup-compatibility/2006">
          <mc:Choice Requires="x14">
            <control shapeId="1301" r:id="rId94" name="Check Box 277">
              <controlPr defaultSize="0" autoFill="0" autoLine="0" autoPict="0" altText="Onay Kutusu">
                <anchor moveWithCells="1">
                  <from>
                    <xdr:col>3</xdr:col>
                    <xdr:colOff>333375</xdr:colOff>
                    <xdr:row>56</xdr:row>
                    <xdr:rowOff>200025</xdr:rowOff>
                  </from>
                  <to>
                    <xdr:col>3</xdr:col>
                    <xdr:colOff>638175</xdr:colOff>
                    <xdr:row>57</xdr:row>
                    <xdr:rowOff>200025</xdr:rowOff>
                  </to>
                </anchor>
              </controlPr>
            </control>
          </mc:Choice>
        </mc:AlternateContent>
        <mc:AlternateContent xmlns:mc="http://schemas.openxmlformats.org/markup-compatibility/2006">
          <mc:Choice Requires="x14">
            <control shapeId="1302" r:id="rId95" name="Check Box 278">
              <controlPr defaultSize="0" autoFill="0" autoLine="0" autoPict="0" altText="Onay Kutusu">
                <anchor moveWithCells="1">
                  <from>
                    <xdr:col>3</xdr:col>
                    <xdr:colOff>333375</xdr:colOff>
                    <xdr:row>57</xdr:row>
                    <xdr:rowOff>200025</xdr:rowOff>
                  </from>
                  <to>
                    <xdr:col>3</xdr:col>
                    <xdr:colOff>638175</xdr:colOff>
                    <xdr:row>58</xdr:row>
                    <xdr:rowOff>200025</xdr:rowOff>
                  </to>
                </anchor>
              </controlPr>
            </control>
          </mc:Choice>
        </mc:AlternateContent>
        <mc:AlternateContent xmlns:mc="http://schemas.openxmlformats.org/markup-compatibility/2006">
          <mc:Choice Requires="x14">
            <control shapeId="1303" r:id="rId96" name="Check Box 279">
              <controlPr defaultSize="0" autoFill="0" autoLine="0" autoPict="0" altText="Onay Kutusu">
                <anchor moveWithCells="1">
                  <from>
                    <xdr:col>3</xdr:col>
                    <xdr:colOff>333375</xdr:colOff>
                    <xdr:row>57</xdr:row>
                    <xdr:rowOff>200025</xdr:rowOff>
                  </from>
                  <to>
                    <xdr:col>3</xdr:col>
                    <xdr:colOff>638175</xdr:colOff>
                    <xdr:row>58</xdr:row>
                    <xdr:rowOff>200025</xdr:rowOff>
                  </to>
                </anchor>
              </controlPr>
            </control>
          </mc:Choice>
        </mc:AlternateContent>
        <mc:AlternateContent xmlns:mc="http://schemas.openxmlformats.org/markup-compatibility/2006">
          <mc:Choice Requires="x14">
            <control shapeId="1305" r:id="rId97" name="Check Box 281">
              <controlPr defaultSize="0" autoFill="0" autoLine="0" autoPict="0" altText="Onay Kutusu">
                <anchor moveWithCells="1">
                  <from>
                    <xdr:col>0</xdr:col>
                    <xdr:colOff>266700</xdr:colOff>
                    <xdr:row>30</xdr:row>
                    <xdr:rowOff>9525</xdr:rowOff>
                  </from>
                  <to>
                    <xdr:col>0</xdr:col>
                    <xdr:colOff>571500</xdr:colOff>
                    <xdr:row>31</xdr:row>
                    <xdr:rowOff>9525</xdr:rowOff>
                  </to>
                </anchor>
              </controlPr>
            </control>
          </mc:Choice>
        </mc:AlternateContent>
        <mc:AlternateContent xmlns:mc="http://schemas.openxmlformats.org/markup-compatibility/2006">
          <mc:Choice Requires="x14">
            <control shapeId="1306" r:id="rId98" name="Check Box 282">
              <controlPr defaultSize="0" autoFill="0" autoLine="0" autoPict="0" altText="Onay Kutusu">
                <anchor moveWithCells="1">
                  <from>
                    <xdr:col>0</xdr:col>
                    <xdr:colOff>266700</xdr:colOff>
                    <xdr:row>31</xdr:row>
                    <xdr:rowOff>9525</xdr:rowOff>
                  </from>
                  <to>
                    <xdr:col>0</xdr:col>
                    <xdr:colOff>571500</xdr:colOff>
                    <xdr:row>32</xdr:row>
                    <xdr:rowOff>9525</xdr:rowOff>
                  </to>
                </anchor>
              </controlPr>
            </control>
          </mc:Choice>
        </mc:AlternateContent>
        <mc:AlternateContent xmlns:mc="http://schemas.openxmlformats.org/markup-compatibility/2006">
          <mc:Choice Requires="x14">
            <control shapeId="1307" r:id="rId99" name="Check Box 283">
              <controlPr defaultSize="0" autoFill="0" autoLine="0" autoPict="0" altText="Onay Kutusu">
                <anchor moveWithCells="1">
                  <from>
                    <xdr:col>0</xdr:col>
                    <xdr:colOff>266700</xdr:colOff>
                    <xdr:row>32</xdr:row>
                    <xdr:rowOff>9525</xdr:rowOff>
                  </from>
                  <to>
                    <xdr:col>0</xdr:col>
                    <xdr:colOff>571500</xdr:colOff>
                    <xdr:row>33</xdr:row>
                    <xdr:rowOff>9525</xdr:rowOff>
                  </to>
                </anchor>
              </controlPr>
            </control>
          </mc:Choice>
        </mc:AlternateContent>
        <mc:AlternateContent xmlns:mc="http://schemas.openxmlformats.org/markup-compatibility/2006">
          <mc:Choice Requires="x14">
            <control shapeId="1308" r:id="rId100" name="Check Box 284">
              <controlPr defaultSize="0" autoFill="0" autoLine="0" autoPict="0" altText="Onay Kutusu">
                <anchor moveWithCells="1">
                  <from>
                    <xdr:col>3</xdr:col>
                    <xdr:colOff>333375</xdr:colOff>
                    <xdr:row>30</xdr:row>
                    <xdr:rowOff>200025</xdr:rowOff>
                  </from>
                  <to>
                    <xdr:col>3</xdr:col>
                    <xdr:colOff>638175</xdr:colOff>
                    <xdr:row>31</xdr:row>
                    <xdr:rowOff>200025</xdr:rowOff>
                  </to>
                </anchor>
              </controlPr>
            </control>
          </mc:Choice>
        </mc:AlternateContent>
        <mc:AlternateContent xmlns:mc="http://schemas.openxmlformats.org/markup-compatibility/2006">
          <mc:Choice Requires="x14">
            <control shapeId="1309" r:id="rId101" name="Check Box 285">
              <controlPr defaultSize="0" autoFill="0" autoLine="0" autoPict="0" altText="Onay Kutusu">
                <anchor moveWithCells="1">
                  <from>
                    <xdr:col>3</xdr:col>
                    <xdr:colOff>333375</xdr:colOff>
                    <xdr:row>30</xdr:row>
                    <xdr:rowOff>200025</xdr:rowOff>
                  </from>
                  <to>
                    <xdr:col>3</xdr:col>
                    <xdr:colOff>638175</xdr:colOff>
                    <xdr:row>31</xdr:row>
                    <xdr:rowOff>200025</xdr:rowOff>
                  </to>
                </anchor>
              </controlPr>
            </control>
          </mc:Choice>
        </mc:AlternateContent>
        <mc:AlternateContent xmlns:mc="http://schemas.openxmlformats.org/markup-compatibility/2006">
          <mc:Choice Requires="x14">
            <control shapeId="1310" r:id="rId102" name="Check Box 286">
              <controlPr defaultSize="0" autoFill="0" autoLine="0" autoPict="0" altText="Onay Kutusu">
                <anchor moveWithCells="1">
                  <from>
                    <xdr:col>3</xdr:col>
                    <xdr:colOff>333375</xdr:colOff>
                    <xdr:row>31</xdr:row>
                    <xdr:rowOff>200025</xdr:rowOff>
                  </from>
                  <to>
                    <xdr:col>3</xdr:col>
                    <xdr:colOff>638175</xdr:colOff>
                    <xdr:row>32</xdr:row>
                    <xdr:rowOff>200025</xdr:rowOff>
                  </to>
                </anchor>
              </controlPr>
            </control>
          </mc:Choice>
        </mc:AlternateContent>
        <mc:AlternateContent xmlns:mc="http://schemas.openxmlformats.org/markup-compatibility/2006">
          <mc:Choice Requires="x14">
            <control shapeId="1311" r:id="rId103" name="Check Box 287">
              <controlPr defaultSize="0" autoFill="0" autoLine="0" autoPict="0" altText="Onay Kutusu">
                <anchor moveWithCells="1">
                  <from>
                    <xdr:col>3</xdr:col>
                    <xdr:colOff>333375</xdr:colOff>
                    <xdr:row>31</xdr:row>
                    <xdr:rowOff>200025</xdr:rowOff>
                  </from>
                  <to>
                    <xdr:col>3</xdr:col>
                    <xdr:colOff>638175</xdr:colOff>
                    <xdr:row>32</xdr:row>
                    <xdr:rowOff>200025</xdr:rowOff>
                  </to>
                </anchor>
              </controlPr>
            </control>
          </mc:Choice>
        </mc:AlternateContent>
        <mc:AlternateContent xmlns:mc="http://schemas.openxmlformats.org/markup-compatibility/2006">
          <mc:Choice Requires="x14">
            <control shapeId="1312" r:id="rId104" name="Check Box 288">
              <controlPr defaultSize="0" autoFill="0" autoLine="0" autoPict="0" altText="Onay Kutusu">
                <anchor moveWithCells="1">
                  <from>
                    <xdr:col>3</xdr:col>
                    <xdr:colOff>333375</xdr:colOff>
                    <xdr:row>32</xdr:row>
                    <xdr:rowOff>200025</xdr:rowOff>
                  </from>
                  <to>
                    <xdr:col>3</xdr:col>
                    <xdr:colOff>638175</xdr:colOff>
                    <xdr:row>33</xdr:row>
                    <xdr:rowOff>200025</xdr:rowOff>
                  </to>
                </anchor>
              </controlPr>
            </control>
          </mc:Choice>
        </mc:AlternateContent>
        <mc:AlternateContent xmlns:mc="http://schemas.openxmlformats.org/markup-compatibility/2006">
          <mc:Choice Requires="x14">
            <control shapeId="1313" r:id="rId105" name="Check Box 289">
              <controlPr defaultSize="0" autoFill="0" autoLine="0" autoPict="0" altText="Onay Kutusu">
                <anchor moveWithCells="1">
                  <from>
                    <xdr:col>3</xdr:col>
                    <xdr:colOff>333375</xdr:colOff>
                    <xdr:row>32</xdr:row>
                    <xdr:rowOff>200025</xdr:rowOff>
                  </from>
                  <to>
                    <xdr:col>3</xdr:col>
                    <xdr:colOff>638175</xdr:colOff>
                    <xdr:row>33</xdr:row>
                    <xdr:rowOff>200025</xdr:rowOff>
                  </to>
                </anchor>
              </controlPr>
            </control>
          </mc:Choice>
        </mc:AlternateContent>
        <mc:AlternateContent xmlns:mc="http://schemas.openxmlformats.org/markup-compatibility/2006">
          <mc:Choice Requires="x14">
            <control shapeId="1314" r:id="rId106" name="Check Box 290">
              <controlPr defaultSize="0" autoFill="0" autoLine="0" autoPict="0" altText="Onay Kutusu">
                <anchor moveWithCells="1">
                  <from>
                    <xdr:col>0</xdr:col>
                    <xdr:colOff>266700</xdr:colOff>
                    <xdr:row>32</xdr:row>
                    <xdr:rowOff>9525</xdr:rowOff>
                  </from>
                  <to>
                    <xdr:col>0</xdr:col>
                    <xdr:colOff>571500</xdr:colOff>
                    <xdr:row>33</xdr:row>
                    <xdr:rowOff>9525</xdr:rowOff>
                  </to>
                </anchor>
              </controlPr>
            </control>
          </mc:Choice>
        </mc:AlternateContent>
        <mc:AlternateContent xmlns:mc="http://schemas.openxmlformats.org/markup-compatibility/2006">
          <mc:Choice Requires="x14">
            <control shapeId="1315" r:id="rId107" name="Check Box 291">
              <controlPr defaultSize="0" autoFill="0" autoLine="0" autoPict="0" altText="Onay Kutusu">
                <anchor moveWithCells="1">
                  <from>
                    <xdr:col>0</xdr:col>
                    <xdr:colOff>266700</xdr:colOff>
                    <xdr:row>33</xdr:row>
                    <xdr:rowOff>9525</xdr:rowOff>
                  </from>
                  <to>
                    <xdr:col>0</xdr:col>
                    <xdr:colOff>571500</xdr:colOff>
                    <xdr:row>34</xdr:row>
                    <xdr:rowOff>9525</xdr:rowOff>
                  </to>
                </anchor>
              </controlPr>
            </control>
          </mc:Choice>
        </mc:AlternateContent>
        <mc:AlternateContent xmlns:mc="http://schemas.openxmlformats.org/markup-compatibility/2006">
          <mc:Choice Requires="x14">
            <control shapeId="1316" r:id="rId108" name="Check Box 292">
              <controlPr defaultSize="0" autoFill="0" autoLine="0" autoPict="0" altText="Onay Kutusu">
                <anchor moveWithCells="1">
                  <from>
                    <xdr:col>0</xdr:col>
                    <xdr:colOff>266700</xdr:colOff>
                    <xdr:row>34</xdr:row>
                    <xdr:rowOff>9525</xdr:rowOff>
                  </from>
                  <to>
                    <xdr:col>0</xdr:col>
                    <xdr:colOff>571500</xdr:colOff>
                    <xdr:row>35</xdr:row>
                    <xdr:rowOff>9525</xdr:rowOff>
                  </to>
                </anchor>
              </controlPr>
            </control>
          </mc:Choice>
        </mc:AlternateContent>
        <mc:AlternateContent xmlns:mc="http://schemas.openxmlformats.org/markup-compatibility/2006">
          <mc:Choice Requires="x14">
            <control shapeId="1317" r:id="rId109" name="Check Box 293">
              <controlPr defaultSize="0" autoFill="0" autoLine="0" autoPict="0" altText="Onay Kutusu">
                <anchor moveWithCells="1">
                  <from>
                    <xdr:col>3</xdr:col>
                    <xdr:colOff>333375</xdr:colOff>
                    <xdr:row>32</xdr:row>
                    <xdr:rowOff>200025</xdr:rowOff>
                  </from>
                  <to>
                    <xdr:col>3</xdr:col>
                    <xdr:colOff>638175</xdr:colOff>
                    <xdr:row>33</xdr:row>
                    <xdr:rowOff>200025</xdr:rowOff>
                  </to>
                </anchor>
              </controlPr>
            </control>
          </mc:Choice>
        </mc:AlternateContent>
        <mc:AlternateContent xmlns:mc="http://schemas.openxmlformats.org/markup-compatibility/2006">
          <mc:Choice Requires="x14">
            <control shapeId="1318" r:id="rId110" name="Check Box 294">
              <controlPr defaultSize="0" autoFill="0" autoLine="0" autoPict="0" altText="Onay Kutusu">
                <anchor moveWithCells="1">
                  <from>
                    <xdr:col>3</xdr:col>
                    <xdr:colOff>333375</xdr:colOff>
                    <xdr:row>32</xdr:row>
                    <xdr:rowOff>200025</xdr:rowOff>
                  </from>
                  <to>
                    <xdr:col>3</xdr:col>
                    <xdr:colOff>638175</xdr:colOff>
                    <xdr:row>33</xdr:row>
                    <xdr:rowOff>200025</xdr:rowOff>
                  </to>
                </anchor>
              </controlPr>
            </control>
          </mc:Choice>
        </mc:AlternateContent>
        <mc:AlternateContent xmlns:mc="http://schemas.openxmlformats.org/markup-compatibility/2006">
          <mc:Choice Requires="x14">
            <control shapeId="1319" r:id="rId111" name="Check Box 295">
              <controlPr defaultSize="0" autoFill="0" autoLine="0" autoPict="0" altText="Onay Kutusu">
                <anchor moveWithCells="1">
                  <from>
                    <xdr:col>3</xdr:col>
                    <xdr:colOff>333375</xdr:colOff>
                    <xdr:row>33</xdr:row>
                    <xdr:rowOff>200025</xdr:rowOff>
                  </from>
                  <to>
                    <xdr:col>3</xdr:col>
                    <xdr:colOff>638175</xdr:colOff>
                    <xdr:row>34</xdr:row>
                    <xdr:rowOff>200025</xdr:rowOff>
                  </to>
                </anchor>
              </controlPr>
            </control>
          </mc:Choice>
        </mc:AlternateContent>
        <mc:AlternateContent xmlns:mc="http://schemas.openxmlformats.org/markup-compatibility/2006">
          <mc:Choice Requires="x14">
            <control shapeId="1320" r:id="rId112" name="Check Box 296">
              <controlPr defaultSize="0" autoFill="0" autoLine="0" autoPict="0" altText="Onay Kutusu">
                <anchor moveWithCells="1">
                  <from>
                    <xdr:col>3</xdr:col>
                    <xdr:colOff>333375</xdr:colOff>
                    <xdr:row>33</xdr:row>
                    <xdr:rowOff>200025</xdr:rowOff>
                  </from>
                  <to>
                    <xdr:col>3</xdr:col>
                    <xdr:colOff>638175</xdr:colOff>
                    <xdr:row>34</xdr:row>
                    <xdr:rowOff>200025</xdr:rowOff>
                  </to>
                </anchor>
              </controlPr>
            </control>
          </mc:Choice>
        </mc:AlternateContent>
        <mc:AlternateContent xmlns:mc="http://schemas.openxmlformats.org/markup-compatibility/2006">
          <mc:Choice Requires="x14">
            <control shapeId="1321" r:id="rId113" name="Check Box 297">
              <controlPr defaultSize="0" autoFill="0" autoLine="0" autoPict="0" altText="Onay Kutusu">
                <anchor moveWithCells="1">
                  <from>
                    <xdr:col>3</xdr:col>
                    <xdr:colOff>333375</xdr:colOff>
                    <xdr:row>34</xdr:row>
                    <xdr:rowOff>200025</xdr:rowOff>
                  </from>
                  <to>
                    <xdr:col>3</xdr:col>
                    <xdr:colOff>638175</xdr:colOff>
                    <xdr:row>35</xdr:row>
                    <xdr:rowOff>200025</xdr:rowOff>
                  </to>
                </anchor>
              </controlPr>
            </control>
          </mc:Choice>
        </mc:AlternateContent>
        <mc:AlternateContent xmlns:mc="http://schemas.openxmlformats.org/markup-compatibility/2006">
          <mc:Choice Requires="x14">
            <control shapeId="1322" r:id="rId114" name="Check Box 298">
              <controlPr defaultSize="0" autoFill="0" autoLine="0" autoPict="0" altText="Onay Kutusu">
                <anchor moveWithCells="1">
                  <from>
                    <xdr:col>3</xdr:col>
                    <xdr:colOff>333375</xdr:colOff>
                    <xdr:row>34</xdr:row>
                    <xdr:rowOff>200025</xdr:rowOff>
                  </from>
                  <to>
                    <xdr:col>3</xdr:col>
                    <xdr:colOff>638175</xdr:colOff>
                    <xdr:row>35</xdr:row>
                    <xdr:rowOff>200025</xdr:rowOff>
                  </to>
                </anchor>
              </controlPr>
            </control>
          </mc:Choice>
        </mc:AlternateContent>
        <mc:AlternateContent xmlns:mc="http://schemas.openxmlformats.org/markup-compatibility/2006">
          <mc:Choice Requires="x14">
            <control shapeId="1323" r:id="rId115" name="Check Box 299">
              <controlPr defaultSize="0" autoFill="0" autoLine="0" autoPict="0" altText="Onay Kutusu">
                <anchor moveWithCells="1">
                  <from>
                    <xdr:col>0</xdr:col>
                    <xdr:colOff>266700</xdr:colOff>
                    <xdr:row>34</xdr:row>
                    <xdr:rowOff>9525</xdr:rowOff>
                  </from>
                  <to>
                    <xdr:col>0</xdr:col>
                    <xdr:colOff>571500</xdr:colOff>
                    <xdr:row>35</xdr:row>
                    <xdr:rowOff>9525</xdr:rowOff>
                  </to>
                </anchor>
              </controlPr>
            </control>
          </mc:Choice>
        </mc:AlternateContent>
        <mc:AlternateContent xmlns:mc="http://schemas.openxmlformats.org/markup-compatibility/2006">
          <mc:Choice Requires="x14">
            <control shapeId="1324" r:id="rId116" name="Check Box 300">
              <controlPr defaultSize="0" autoFill="0" autoLine="0" autoPict="0" altText="Onay Kutusu">
                <anchor moveWithCells="1">
                  <from>
                    <xdr:col>3</xdr:col>
                    <xdr:colOff>333375</xdr:colOff>
                    <xdr:row>34</xdr:row>
                    <xdr:rowOff>200025</xdr:rowOff>
                  </from>
                  <to>
                    <xdr:col>3</xdr:col>
                    <xdr:colOff>638175</xdr:colOff>
                    <xdr:row>35</xdr:row>
                    <xdr:rowOff>200025</xdr:rowOff>
                  </to>
                </anchor>
              </controlPr>
            </control>
          </mc:Choice>
        </mc:AlternateContent>
        <mc:AlternateContent xmlns:mc="http://schemas.openxmlformats.org/markup-compatibility/2006">
          <mc:Choice Requires="x14">
            <control shapeId="1325" r:id="rId117" name="Check Box 301">
              <controlPr defaultSize="0" autoFill="0" autoLine="0" autoPict="0" altText="Onay Kutusu">
                <anchor moveWithCells="1">
                  <from>
                    <xdr:col>3</xdr:col>
                    <xdr:colOff>333375</xdr:colOff>
                    <xdr:row>34</xdr:row>
                    <xdr:rowOff>200025</xdr:rowOff>
                  </from>
                  <to>
                    <xdr:col>3</xdr:col>
                    <xdr:colOff>638175</xdr:colOff>
                    <xdr:row>35</xdr:row>
                    <xdr:rowOff>200025</xdr:rowOff>
                  </to>
                </anchor>
              </controlPr>
            </control>
          </mc:Choice>
        </mc:AlternateContent>
        <mc:AlternateContent xmlns:mc="http://schemas.openxmlformats.org/markup-compatibility/2006">
          <mc:Choice Requires="x14">
            <control shapeId="1326" r:id="rId118" name="Check Box 302">
              <controlPr defaultSize="0" autoFill="0" autoLine="0" autoPict="0" altText="Onay Kutusu">
                <anchor moveWithCells="1">
                  <from>
                    <xdr:col>0</xdr:col>
                    <xdr:colOff>266700</xdr:colOff>
                    <xdr:row>34</xdr:row>
                    <xdr:rowOff>9525</xdr:rowOff>
                  </from>
                  <to>
                    <xdr:col>0</xdr:col>
                    <xdr:colOff>571500</xdr:colOff>
                    <xdr:row>35</xdr:row>
                    <xdr:rowOff>9525</xdr:rowOff>
                  </to>
                </anchor>
              </controlPr>
            </control>
          </mc:Choice>
        </mc:AlternateContent>
        <mc:AlternateContent xmlns:mc="http://schemas.openxmlformats.org/markup-compatibility/2006">
          <mc:Choice Requires="x14">
            <control shapeId="1327" r:id="rId119" name="Check Box 303">
              <controlPr defaultSize="0" autoFill="0" autoLine="0" autoPict="0" altText="Onay Kutusu">
                <anchor moveWithCells="1">
                  <from>
                    <xdr:col>0</xdr:col>
                    <xdr:colOff>266700</xdr:colOff>
                    <xdr:row>35</xdr:row>
                    <xdr:rowOff>9525</xdr:rowOff>
                  </from>
                  <to>
                    <xdr:col>0</xdr:col>
                    <xdr:colOff>571500</xdr:colOff>
                    <xdr:row>36</xdr:row>
                    <xdr:rowOff>9525</xdr:rowOff>
                  </to>
                </anchor>
              </controlPr>
            </control>
          </mc:Choice>
        </mc:AlternateContent>
        <mc:AlternateContent xmlns:mc="http://schemas.openxmlformats.org/markup-compatibility/2006">
          <mc:Choice Requires="x14">
            <control shapeId="1328" r:id="rId120" name="Check Box 304">
              <controlPr defaultSize="0" autoFill="0" autoLine="0" autoPict="0" altText="Onay Kutusu">
                <anchor moveWithCells="1">
                  <from>
                    <xdr:col>0</xdr:col>
                    <xdr:colOff>266700</xdr:colOff>
                    <xdr:row>36</xdr:row>
                    <xdr:rowOff>9525</xdr:rowOff>
                  </from>
                  <to>
                    <xdr:col>0</xdr:col>
                    <xdr:colOff>571500</xdr:colOff>
                    <xdr:row>37</xdr:row>
                    <xdr:rowOff>9525</xdr:rowOff>
                  </to>
                </anchor>
              </controlPr>
            </control>
          </mc:Choice>
        </mc:AlternateContent>
        <mc:AlternateContent xmlns:mc="http://schemas.openxmlformats.org/markup-compatibility/2006">
          <mc:Choice Requires="x14">
            <control shapeId="1329" r:id="rId121" name="Check Box 305">
              <controlPr defaultSize="0" autoFill="0" autoLine="0" autoPict="0" altText="Onay Kutusu">
                <anchor moveWithCells="1">
                  <from>
                    <xdr:col>3</xdr:col>
                    <xdr:colOff>333375</xdr:colOff>
                    <xdr:row>34</xdr:row>
                    <xdr:rowOff>200025</xdr:rowOff>
                  </from>
                  <to>
                    <xdr:col>3</xdr:col>
                    <xdr:colOff>638175</xdr:colOff>
                    <xdr:row>35</xdr:row>
                    <xdr:rowOff>200025</xdr:rowOff>
                  </to>
                </anchor>
              </controlPr>
            </control>
          </mc:Choice>
        </mc:AlternateContent>
        <mc:AlternateContent xmlns:mc="http://schemas.openxmlformats.org/markup-compatibility/2006">
          <mc:Choice Requires="x14">
            <control shapeId="1330" r:id="rId122" name="Check Box 306">
              <controlPr defaultSize="0" autoFill="0" autoLine="0" autoPict="0" altText="Onay Kutusu">
                <anchor moveWithCells="1">
                  <from>
                    <xdr:col>3</xdr:col>
                    <xdr:colOff>333375</xdr:colOff>
                    <xdr:row>34</xdr:row>
                    <xdr:rowOff>200025</xdr:rowOff>
                  </from>
                  <to>
                    <xdr:col>3</xdr:col>
                    <xdr:colOff>638175</xdr:colOff>
                    <xdr:row>35</xdr:row>
                    <xdr:rowOff>200025</xdr:rowOff>
                  </to>
                </anchor>
              </controlPr>
            </control>
          </mc:Choice>
        </mc:AlternateContent>
        <mc:AlternateContent xmlns:mc="http://schemas.openxmlformats.org/markup-compatibility/2006">
          <mc:Choice Requires="x14">
            <control shapeId="1331" r:id="rId123" name="Check Box 307">
              <controlPr defaultSize="0" autoFill="0" autoLine="0" autoPict="0" altText="Onay Kutusu">
                <anchor moveWithCells="1">
                  <from>
                    <xdr:col>3</xdr:col>
                    <xdr:colOff>333375</xdr:colOff>
                    <xdr:row>35</xdr:row>
                    <xdr:rowOff>200025</xdr:rowOff>
                  </from>
                  <to>
                    <xdr:col>3</xdr:col>
                    <xdr:colOff>638175</xdr:colOff>
                    <xdr:row>36</xdr:row>
                    <xdr:rowOff>200025</xdr:rowOff>
                  </to>
                </anchor>
              </controlPr>
            </control>
          </mc:Choice>
        </mc:AlternateContent>
        <mc:AlternateContent xmlns:mc="http://schemas.openxmlformats.org/markup-compatibility/2006">
          <mc:Choice Requires="x14">
            <control shapeId="1332" r:id="rId124" name="Check Box 308">
              <controlPr defaultSize="0" autoFill="0" autoLine="0" autoPict="0" altText="Onay Kutusu">
                <anchor moveWithCells="1">
                  <from>
                    <xdr:col>3</xdr:col>
                    <xdr:colOff>333375</xdr:colOff>
                    <xdr:row>35</xdr:row>
                    <xdr:rowOff>200025</xdr:rowOff>
                  </from>
                  <to>
                    <xdr:col>3</xdr:col>
                    <xdr:colOff>638175</xdr:colOff>
                    <xdr:row>36</xdr:row>
                    <xdr:rowOff>200025</xdr:rowOff>
                  </to>
                </anchor>
              </controlPr>
            </control>
          </mc:Choice>
        </mc:AlternateContent>
        <mc:AlternateContent xmlns:mc="http://schemas.openxmlformats.org/markup-compatibility/2006">
          <mc:Choice Requires="x14">
            <control shapeId="1333" r:id="rId125" name="Check Box 309">
              <controlPr defaultSize="0" autoFill="0" autoLine="0" autoPict="0" altText="Onay Kutusu">
                <anchor moveWithCells="1">
                  <from>
                    <xdr:col>3</xdr:col>
                    <xdr:colOff>333375</xdr:colOff>
                    <xdr:row>36</xdr:row>
                    <xdr:rowOff>200025</xdr:rowOff>
                  </from>
                  <to>
                    <xdr:col>3</xdr:col>
                    <xdr:colOff>638175</xdr:colOff>
                    <xdr:row>37</xdr:row>
                    <xdr:rowOff>200025</xdr:rowOff>
                  </to>
                </anchor>
              </controlPr>
            </control>
          </mc:Choice>
        </mc:AlternateContent>
        <mc:AlternateContent xmlns:mc="http://schemas.openxmlformats.org/markup-compatibility/2006">
          <mc:Choice Requires="x14">
            <control shapeId="1334" r:id="rId126" name="Check Box 310">
              <controlPr defaultSize="0" autoFill="0" autoLine="0" autoPict="0" altText="Onay Kutusu">
                <anchor moveWithCells="1">
                  <from>
                    <xdr:col>3</xdr:col>
                    <xdr:colOff>333375</xdr:colOff>
                    <xdr:row>36</xdr:row>
                    <xdr:rowOff>200025</xdr:rowOff>
                  </from>
                  <to>
                    <xdr:col>3</xdr:col>
                    <xdr:colOff>638175</xdr:colOff>
                    <xdr:row>37</xdr:row>
                    <xdr:rowOff>200025</xdr:rowOff>
                  </to>
                </anchor>
              </controlPr>
            </control>
          </mc:Choice>
        </mc:AlternateContent>
        <mc:AlternateContent xmlns:mc="http://schemas.openxmlformats.org/markup-compatibility/2006">
          <mc:Choice Requires="x14">
            <control shapeId="1335" r:id="rId127" name="Check Box 311">
              <controlPr defaultSize="0" autoFill="0" autoLine="0" autoPict="0" altText="Onay Kutusu">
                <anchor moveWithCells="1">
                  <from>
                    <xdr:col>0</xdr:col>
                    <xdr:colOff>266700</xdr:colOff>
                    <xdr:row>36</xdr:row>
                    <xdr:rowOff>9525</xdr:rowOff>
                  </from>
                  <to>
                    <xdr:col>0</xdr:col>
                    <xdr:colOff>571500</xdr:colOff>
                    <xdr:row>37</xdr:row>
                    <xdr:rowOff>9525</xdr:rowOff>
                  </to>
                </anchor>
              </controlPr>
            </control>
          </mc:Choice>
        </mc:AlternateContent>
        <mc:AlternateContent xmlns:mc="http://schemas.openxmlformats.org/markup-compatibility/2006">
          <mc:Choice Requires="x14">
            <control shapeId="1336" r:id="rId128" name="Check Box 312">
              <controlPr defaultSize="0" autoFill="0" autoLine="0" autoPict="0" altText="Onay Kutusu">
                <anchor moveWithCells="1">
                  <from>
                    <xdr:col>3</xdr:col>
                    <xdr:colOff>333375</xdr:colOff>
                    <xdr:row>36</xdr:row>
                    <xdr:rowOff>200025</xdr:rowOff>
                  </from>
                  <to>
                    <xdr:col>3</xdr:col>
                    <xdr:colOff>638175</xdr:colOff>
                    <xdr:row>37</xdr:row>
                    <xdr:rowOff>200025</xdr:rowOff>
                  </to>
                </anchor>
              </controlPr>
            </control>
          </mc:Choice>
        </mc:AlternateContent>
        <mc:AlternateContent xmlns:mc="http://schemas.openxmlformats.org/markup-compatibility/2006">
          <mc:Choice Requires="x14">
            <control shapeId="1337" r:id="rId129" name="Check Box 313">
              <controlPr defaultSize="0" autoFill="0" autoLine="0" autoPict="0" altText="Onay Kutusu">
                <anchor moveWithCells="1">
                  <from>
                    <xdr:col>3</xdr:col>
                    <xdr:colOff>333375</xdr:colOff>
                    <xdr:row>36</xdr:row>
                    <xdr:rowOff>200025</xdr:rowOff>
                  </from>
                  <to>
                    <xdr:col>3</xdr:col>
                    <xdr:colOff>638175</xdr:colOff>
                    <xdr:row>37</xdr:row>
                    <xdr:rowOff>200025</xdr:rowOff>
                  </to>
                </anchor>
              </controlPr>
            </control>
          </mc:Choice>
        </mc:AlternateContent>
        <mc:AlternateContent xmlns:mc="http://schemas.openxmlformats.org/markup-compatibility/2006">
          <mc:Choice Requires="x14">
            <control shapeId="1338" r:id="rId130" name="Check Box 314">
              <controlPr defaultSize="0" autoFill="0" autoLine="0" autoPict="0" altText="Onay Kutusu">
                <anchor moveWithCells="1">
                  <from>
                    <xdr:col>0</xdr:col>
                    <xdr:colOff>266700</xdr:colOff>
                    <xdr:row>36</xdr:row>
                    <xdr:rowOff>9525</xdr:rowOff>
                  </from>
                  <to>
                    <xdr:col>0</xdr:col>
                    <xdr:colOff>571500</xdr:colOff>
                    <xdr:row>37</xdr:row>
                    <xdr:rowOff>9525</xdr:rowOff>
                  </to>
                </anchor>
              </controlPr>
            </control>
          </mc:Choice>
        </mc:AlternateContent>
        <mc:AlternateContent xmlns:mc="http://schemas.openxmlformats.org/markup-compatibility/2006">
          <mc:Choice Requires="x14">
            <control shapeId="1339" r:id="rId131" name="Check Box 315">
              <controlPr defaultSize="0" autoFill="0" autoLine="0" autoPict="0" altText="Onay Kutusu">
                <anchor moveWithCells="1">
                  <from>
                    <xdr:col>0</xdr:col>
                    <xdr:colOff>266700</xdr:colOff>
                    <xdr:row>37</xdr:row>
                    <xdr:rowOff>9525</xdr:rowOff>
                  </from>
                  <to>
                    <xdr:col>0</xdr:col>
                    <xdr:colOff>571500</xdr:colOff>
                    <xdr:row>38</xdr:row>
                    <xdr:rowOff>9525</xdr:rowOff>
                  </to>
                </anchor>
              </controlPr>
            </control>
          </mc:Choice>
        </mc:AlternateContent>
        <mc:AlternateContent xmlns:mc="http://schemas.openxmlformats.org/markup-compatibility/2006">
          <mc:Choice Requires="x14">
            <control shapeId="1340" r:id="rId132" name="Check Box 316">
              <controlPr defaultSize="0" autoFill="0" autoLine="0" autoPict="0" altText="Onay Kutusu">
                <anchor moveWithCells="1">
                  <from>
                    <xdr:col>0</xdr:col>
                    <xdr:colOff>266700</xdr:colOff>
                    <xdr:row>38</xdr:row>
                    <xdr:rowOff>9525</xdr:rowOff>
                  </from>
                  <to>
                    <xdr:col>0</xdr:col>
                    <xdr:colOff>571500</xdr:colOff>
                    <xdr:row>39</xdr:row>
                    <xdr:rowOff>9525</xdr:rowOff>
                  </to>
                </anchor>
              </controlPr>
            </control>
          </mc:Choice>
        </mc:AlternateContent>
        <mc:AlternateContent xmlns:mc="http://schemas.openxmlformats.org/markup-compatibility/2006">
          <mc:Choice Requires="x14">
            <control shapeId="1341" r:id="rId133" name="Check Box 317">
              <controlPr defaultSize="0" autoFill="0" autoLine="0" autoPict="0" altText="Onay Kutusu">
                <anchor moveWithCells="1">
                  <from>
                    <xdr:col>3</xdr:col>
                    <xdr:colOff>333375</xdr:colOff>
                    <xdr:row>36</xdr:row>
                    <xdr:rowOff>200025</xdr:rowOff>
                  </from>
                  <to>
                    <xdr:col>3</xdr:col>
                    <xdr:colOff>638175</xdr:colOff>
                    <xdr:row>37</xdr:row>
                    <xdr:rowOff>200025</xdr:rowOff>
                  </to>
                </anchor>
              </controlPr>
            </control>
          </mc:Choice>
        </mc:AlternateContent>
        <mc:AlternateContent xmlns:mc="http://schemas.openxmlformats.org/markup-compatibility/2006">
          <mc:Choice Requires="x14">
            <control shapeId="1342" r:id="rId134" name="Check Box 318">
              <controlPr defaultSize="0" autoFill="0" autoLine="0" autoPict="0" altText="Onay Kutusu">
                <anchor moveWithCells="1">
                  <from>
                    <xdr:col>3</xdr:col>
                    <xdr:colOff>333375</xdr:colOff>
                    <xdr:row>36</xdr:row>
                    <xdr:rowOff>200025</xdr:rowOff>
                  </from>
                  <to>
                    <xdr:col>3</xdr:col>
                    <xdr:colOff>638175</xdr:colOff>
                    <xdr:row>37</xdr:row>
                    <xdr:rowOff>200025</xdr:rowOff>
                  </to>
                </anchor>
              </controlPr>
            </control>
          </mc:Choice>
        </mc:AlternateContent>
        <mc:AlternateContent xmlns:mc="http://schemas.openxmlformats.org/markup-compatibility/2006">
          <mc:Choice Requires="x14">
            <control shapeId="1343" r:id="rId135" name="Check Box 319">
              <controlPr defaultSize="0" autoFill="0" autoLine="0" autoPict="0" altText="Onay Kutusu">
                <anchor moveWithCells="1">
                  <from>
                    <xdr:col>3</xdr:col>
                    <xdr:colOff>333375</xdr:colOff>
                    <xdr:row>37</xdr:row>
                    <xdr:rowOff>200025</xdr:rowOff>
                  </from>
                  <to>
                    <xdr:col>3</xdr:col>
                    <xdr:colOff>638175</xdr:colOff>
                    <xdr:row>38</xdr:row>
                    <xdr:rowOff>200025</xdr:rowOff>
                  </to>
                </anchor>
              </controlPr>
            </control>
          </mc:Choice>
        </mc:AlternateContent>
        <mc:AlternateContent xmlns:mc="http://schemas.openxmlformats.org/markup-compatibility/2006">
          <mc:Choice Requires="x14">
            <control shapeId="1344" r:id="rId136" name="Check Box 320">
              <controlPr defaultSize="0" autoFill="0" autoLine="0" autoPict="0" altText="Onay Kutusu">
                <anchor moveWithCells="1">
                  <from>
                    <xdr:col>3</xdr:col>
                    <xdr:colOff>333375</xdr:colOff>
                    <xdr:row>37</xdr:row>
                    <xdr:rowOff>200025</xdr:rowOff>
                  </from>
                  <to>
                    <xdr:col>3</xdr:col>
                    <xdr:colOff>638175</xdr:colOff>
                    <xdr:row>38</xdr:row>
                    <xdr:rowOff>200025</xdr:rowOff>
                  </to>
                </anchor>
              </controlPr>
            </control>
          </mc:Choice>
        </mc:AlternateContent>
        <mc:AlternateContent xmlns:mc="http://schemas.openxmlformats.org/markup-compatibility/2006">
          <mc:Choice Requires="x14">
            <control shapeId="1345" r:id="rId137" name="Check Box 321">
              <controlPr defaultSize="0" autoFill="0" autoLine="0" autoPict="0" altText="Onay Kutusu">
                <anchor moveWithCells="1">
                  <from>
                    <xdr:col>3</xdr:col>
                    <xdr:colOff>333375</xdr:colOff>
                    <xdr:row>38</xdr:row>
                    <xdr:rowOff>200025</xdr:rowOff>
                  </from>
                  <to>
                    <xdr:col>3</xdr:col>
                    <xdr:colOff>638175</xdr:colOff>
                    <xdr:row>39</xdr:row>
                    <xdr:rowOff>200025</xdr:rowOff>
                  </to>
                </anchor>
              </controlPr>
            </control>
          </mc:Choice>
        </mc:AlternateContent>
        <mc:AlternateContent xmlns:mc="http://schemas.openxmlformats.org/markup-compatibility/2006">
          <mc:Choice Requires="x14">
            <control shapeId="1346" r:id="rId138" name="Check Box 322">
              <controlPr defaultSize="0" autoFill="0" autoLine="0" autoPict="0" altText="Onay Kutusu">
                <anchor moveWithCells="1">
                  <from>
                    <xdr:col>3</xdr:col>
                    <xdr:colOff>333375</xdr:colOff>
                    <xdr:row>38</xdr:row>
                    <xdr:rowOff>200025</xdr:rowOff>
                  </from>
                  <to>
                    <xdr:col>3</xdr:col>
                    <xdr:colOff>638175</xdr:colOff>
                    <xdr:row>39</xdr:row>
                    <xdr:rowOff>200025</xdr:rowOff>
                  </to>
                </anchor>
              </controlPr>
            </control>
          </mc:Choice>
        </mc:AlternateContent>
        <mc:AlternateContent xmlns:mc="http://schemas.openxmlformats.org/markup-compatibility/2006">
          <mc:Choice Requires="x14">
            <control shapeId="1347" r:id="rId139" name="Check Box 323">
              <controlPr defaultSize="0" autoFill="0" autoLine="0" autoPict="0" altText="Onay Kutusu">
                <anchor moveWithCells="1">
                  <from>
                    <xdr:col>0</xdr:col>
                    <xdr:colOff>266700</xdr:colOff>
                    <xdr:row>38</xdr:row>
                    <xdr:rowOff>9525</xdr:rowOff>
                  </from>
                  <to>
                    <xdr:col>0</xdr:col>
                    <xdr:colOff>571500</xdr:colOff>
                    <xdr:row>39</xdr:row>
                    <xdr:rowOff>9525</xdr:rowOff>
                  </to>
                </anchor>
              </controlPr>
            </control>
          </mc:Choice>
        </mc:AlternateContent>
        <mc:AlternateContent xmlns:mc="http://schemas.openxmlformats.org/markup-compatibility/2006">
          <mc:Choice Requires="x14">
            <control shapeId="1348" r:id="rId140" name="Check Box 324">
              <controlPr defaultSize="0" autoFill="0" autoLine="0" autoPict="0" altText="Onay Kutusu">
                <anchor moveWithCells="1">
                  <from>
                    <xdr:col>3</xdr:col>
                    <xdr:colOff>333375</xdr:colOff>
                    <xdr:row>38</xdr:row>
                    <xdr:rowOff>200025</xdr:rowOff>
                  </from>
                  <to>
                    <xdr:col>3</xdr:col>
                    <xdr:colOff>638175</xdr:colOff>
                    <xdr:row>39</xdr:row>
                    <xdr:rowOff>200025</xdr:rowOff>
                  </to>
                </anchor>
              </controlPr>
            </control>
          </mc:Choice>
        </mc:AlternateContent>
        <mc:AlternateContent xmlns:mc="http://schemas.openxmlformats.org/markup-compatibility/2006">
          <mc:Choice Requires="x14">
            <control shapeId="1349" r:id="rId141" name="Check Box 325">
              <controlPr defaultSize="0" autoFill="0" autoLine="0" autoPict="0" altText="Onay Kutusu">
                <anchor moveWithCells="1">
                  <from>
                    <xdr:col>3</xdr:col>
                    <xdr:colOff>333375</xdr:colOff>
                    <xdr:row>38</xdr:row>
                    <xdr:rowOff>200025</xdr:rowOff>
                  </from>
                  <to>
                    <xdr:col>3</xdr:col>
                    <xdr:colOff>638175</xdr:colOff>
                    <xdr:row>39</xdr:row>
                    <xdr:rowOff>200025</xdr:rowOff>
                  </to>
                </anchor>
              </controlPr>
            </control>
          </mc:Choice>
        </mc:AlternateContent>
        <mc:AlternateContent xmlns:mc="http://schemas.openxmlformats.org/markup-compatibility/2006">
          <mc:Choice Requires="x14">
            <control shapeId="1350" r:id="rId142" name="Check Box 326">
              <controlPr defaultSize="0" autoFill="0" autoLine="0" autoPict="0" altText="Onay Kutusu">
                <anchor moveWithCells="1">
                  <from>
                    <xdr:col>0</xdr:col>
                    <xdr:colOff>266700</xdr:colOff>
                    <xdr:row>38</xdr:row>
                    <xdr:rowOff>9525</xdr:rowOff>
                  </from>
                  <to>
                    <xdr:col>0</xdr:col>
                    <xdr:colOff>571500</xdr:colOff>
                    <xdr:row>39</xdr:row>
                    <xdr:rowOff>9525</xdr:rowOff>
                  </to>
                </anchor>
              </controlPr>
            </control>
          </mc:Choice>
        </mc:AlternateContent>
        <mc:AlternateContent xmlns:mc="http://schemas.openxmlformats.org/markup-compatibility/2006">
          <mc:Choice Requires="x14">
            <control shapeId="1351" r:id="rId143" name="Check Box 327">
              <controlPr defaultSize="0" autoFill="0" autoLine="0" autoPict="0" altText="Onay Kutusu">
                <anchor moveWithCells="1">
                  <from>
                    <xdr:col>0</xdr:col>
                    <xdr:colOff>266700</xdr:colOff>
                    <xdr:row>39</xdr:row>
                    <xdr:rowOff>9525</xdr:rowOff>
                  </from>
                  <to>
                    <xdr:col>0</xdr:col>
                    <xdr:colOff>571500</xdr:colOff>
                    <xdr:row>40</xdr:row>
                    <xdr:rowOff>9525</xdr:rowOff>
                  </to>
                </anchor>
              </controlPr>
            </control>
          </mc:Choice>
        </mc:AlternateContent>
        <mc:AlternateContent xmlns:mc="http://schemas.openxmlformats.org/markup-compatibility/2006">
          <mc:Choice Requires="x14">
            <control shapeId="1352" r:id="rId144" name="Check Box 328">
              <controlPr defaultSize="0" autoFill="0" autoLine="0" autoPict="0" altText="Onay Kutusu">
                <anchor moveWithCells="1">
                  <from>
                    <xdr:col>0</xdr:col>
                    <xdr:colOff>266700</xdr:colOff>
                    <xdr:row>40</xdr:row>
                    <xdr:rowOff>9525</xdr:rowOff>
                  </from>
                  <to>
                    <xdr:col>0</xdr:col>
                    <xdr:colOff>571500</xdr:colOff>
                    <xdr:row>41</xdr:row>
                    <xdr:rowOff>9525</xdr:rowOff>
                  </to>
                </anchor>
              </controlPr>
            </control>
          </mc:Choice>
        </mc:AlternateContent>
        <mc:AlternateContent xmlns:mc="http://schemas.openxmlformats.org/markup-compatibility/2006">
          <mc:Choice Requires="x14">
            <control shapeId="1353" r:id="rId145" name="Check Box 329">
              <controlPr defaultSize="0" autoFill="0" autoLine="0" autoPict="0" altText="Onay Kutusu">
                <anchor moveWithCells="1">
                  <from>
                    <xdr:col>3</xdr:col>
                    <xdr:colOff>333375</xdr:colOff>
                    <xdr:row>38</xdr:row>
                    <xdr:rowOff>200025</xdr:rowOff>
                  </from>
                  <to>
                    <xdr:col>3</xdr:col>
                    <xdr:colOff>638175</xdr:colOff>
                    <xdr:row>39</xdr:row>
                    <xdr:rowOff>200025</xdr:rowOff>
                  </to>
                </anchor>
              </controlPr>
            </control>
          </mc:Choice>
        </mc:AlternateContent>
        <mc:AlternateContent xmlns:mc="http://schemas.openxmlformats.org/markup-compatibility/2006">
          <mc:Choice Requires="x14">
            <control shapeId="1354" r:id="rId146" name="Check Box 330">
              <controlPr defaultSize="0" autoFill="0" autoLine="0" autoPict="0" altText="Onay Kutusu">
                <anchor moveWithCells="1">
                  <from>
                    <xdr:col>3</xdr:col>
                    <xdr:colOff>333375</xdr:colOff>
                    <xdr:row>38</xdr:row>
                    <xdr:rowOff>200025</xdr:rowOff>
                  </from>
                  <to>
                    <xdr:col>3</xdr:col>
                    <xdr:colOff>638175</xdr:colOff>
                    <xdr:row>39</xdr:row>
                    <xdr:rowOff>200025</xdr:rowOff>
                  </to>
                </anchor>
              </controlPr>
            </control>
          </mc:Choice>
        </mc:AlternateContent>
        <mc:AlternateContent xmlns:mc="http://schemas.openxmlformats.org/markup-compatibility/2006">
          <mc:Choice Requires="x14">
            <control shapeId="1355" r:id="rId147" name="Check Box 331">
              <controlPr defaultSize="0" autoFill="0" autoLine="0" autoPict="0" altText="Onay Kutusu">
                <anchor moveWithCells="1">
                  <from>
                    <xdr:col>3</xdr:col>
                    <xdr:colOff>333375</xdr:colOff>
                    <xdr:row>39</xdr:row>
                    <xdr:rowOff>200025</xdr:rowOff>
                  </from>
                  <to>
                    <xdr:col>3</xdr:col>
                    <xdr:colOff>638175</xdr:colOff>
                    <xdr:row>40</xdr:row>
                    <xdr:rowOff>200025</xdr:rowOff>
                  </to>
                </anchor>
              </controlPr>
            </control>
          </mc:Choice>
        </mc:AlternateContent>
        <mc:AlternateContent xmlns:mc="http://schemas.openxmlformats.org/markup-compatibility/2006">
          <mc:Choice Requires="x14">
            <control shapeId="1356" r:id="rId148" name="Check Box 332">
              <controlPr defaultSize="0" autoFill="0" autoLine="0" autoPict="0" altText="Onay Kutusu">
                <anchor moveWithCells="1">
                  <from>
                    <xdr:col>3</xdr:col>
                    <xdr:colOff>333375</xdr:colOff>
                    <xdr:row>39</xdr:row>
                    <xdr:rowOff>200025</xdr:rowOff>
                  </from>
                  <to>
                    <xdr:col>3</xdr:col>
                    <xdr:colOff>638175</xdr:colOff>
                    <xdr:row>40</xdr:row>
                    <xdr:rowOff>200025</xdr:rowOff>
                  </to>
                </anchor>
              </controlPr>
            </control>
          </mc:Choice>
        </mc:AlternateContent>
        <mc:AlternateContent xmlns:mc="http://schemas.openxmlformats.org/markup-compatibility/2006">
          <mc:Choice Requires="x14">
            <control shapeId="1357" r:id="rId149" name="Check Box 333">
              <controlPr defaultSize="0" autoFill="0" autoLine="0" autoPict="0" altText="Onay Kutusu">
                <anchor moveWithCells="1">
                  <from>
                    <xdr:col>3</xdr:col>
                    <xdr:colOff>333375</xdr:colOff>
                    <xdr:row>40</xdr:row>
                    <xdr:rowOff>200025</xdr:rowOff>
                  </from>
                  <to>
                    <xdr:col>3</xdr:col>
                    <xdr:colOff>638175</xdr:colOff>
                    <xdr:row>41</xdr:row>
                    <xdr:rowOff>200025</xdr:rowOff>
                  </to>
                </anchor>
              </controlPr>
            </control>
          </mc:Choice>
        </mc:AlternateContent>
        <mc:AlternateContent xmlns:mc="http://schemas.openxmlformats.org/markup-compatibility/2006">
          <mc:Choice Requires="x14">
            <control shapeId="1358" r:id="rId150" name="Check Box 334">
              <controlPr defaultSize="0" autoFill="0" autoLine="0" autoPict="0" altText="Onay Kutusu">
                <anchor moveWithCells="1">
                  <from>
                    <xdr:col>3</xdr:col>
                    <xdr:colOff>333375</xdr:colOff>
                    <xdr:row>40</xdr:row>
                    <xdr:rowOff>200025</xdr:rowOff>
                  </from>
                  <to>
                    <xdr:col>3</xdr:col>
                    <xdr:colOff>638175</xdr:colOff>
                    <xdr:row>41</xdr:row>
                    <xdr:rowOff>200025</xdr:rowOff>
                  </to>
                </anchor>
              </controlPr>
            </control>
          </mc:Choice>
        </mc:AlternateContent>
        <mc:AlternateContent xmlns:mc="http://schemas.openxmlformats.org/markup-compatibility/2006">
          <mc:Choice Requires="x14">
            <control shapeId="1359" r:id="rId151" name="Check Box 335">
              <controlPr defaultSize="0" autoFill="0" autoLine="0" autoPict="0" altText="Onay Kutusu">
                <anchor moveWithCells="1">
                  <from>
                    <xdr:col>0</xdr:col>
                    <xdr:colOff>266700</xdr:colOff>
                    <xdr:row>40</xdr:row>
                    <xdr:rowOff>9525</xdr:rowOff>
                  </from>
                  <to>
                    <xdr:col>0</xdr:col>
                    <xdr:colOff>571500</xdr:colOff>
                    <xdr:row>41</xdr:row>
                    <xdr:rowOff>9525</xdr:rowOff>
                  </to>
                </anchor>
              </controlPr>
            </control>
          </mc:Choice>
        </mc:AlternateContent>
        <mc:AlternateContent xmlns:mc="http://schemas.openxmlformats.org/markup-compatibility/2006">
          <mc:Choice Requires="x14">
            <control shapeId="1360" r:id="rId152" name="Check Box 336">
              <controlPr defaultSize="0" autoFill="0" autoLine="0" autoPict="0" altText="Onay Kutusu">
                <anchor moveWithCells="1">
                  <from>
                    <xdr:col>3</xdr:col>
                    <xdr:colOff>333375</xdr:colOff>
                    <xdr:row>40</xdr:row>
                    <xdr:rowOff>200025</xdr:rowOff>
                  </from>
                  <to>
                    <xdr:col>3</xdr:col>
                    <xdr:colOff>638175</xdr:colOff>
                    <xdr:row>41</xdr:row>
                    <xdr:rowOff>200025</xdr:rowOff>
                  </to>
                </anchor>
              </controlPr>
            </control>
          </mc:Choice>
        </mc:AlternateContent>
        <mc:AlternateContent xmlns:mc="http://schemas.openxmlformats.org/markup-compatibility/2006">
          <mc:Choice Requires="x14">
            <control shapeId="1361" r:id="rId153" name="Check Box 337">
              <controlPr defaultSize="0" autoFill="0" autoLine="0" autoPict="0" altText="Onay Kutusu">
                <anchor moveWithCells="1">
                  <from>
                    <xdr:col>3</xdr:col>
                    <xdr:colOff>333375</xdr:colOff>
                    <xdr:row>40</xdr:row>
                    <xdr:rowOff>200025</xdr:rowOff>
                  </from>
                  <to>
                    <xdr:col>3</xdr:col>
                    <xdr:colOff>638175</xdr:colOff>
                    <xdr:row>41</xdr:row>
                    <xdr:rowOff>200025</xdr:rowOff>
                  </to>
                </anchor>
              </controlPr>
            </control>
          </mc:Choice>
        </mc:AlternateContent>
        <mc:AlternateContent xmlns:mc="http://schemas.openxmlformats.org/markup-compatibility/2006">
          <mc:Choice Requires="x14">
            <control shapeId="1362" r:id="rId154" name="Check Box 338">
              <controlPr defaultSize="0" autoFill="0" autoLine="0" autoPict="0" altText="Onay Kutusu">
                <anchor moveWithCells="1">
                  <from>
                    <xdr:col>0</xdr:col>
                    <xdr:colOff>266700</xdr:colOff>
                    <xdr:row>40</xdr:row>
                    <xdr:rowOff>9525</xdr:rowOff>
                  </from>
                  <to>
                    <xdr:col>0</xdr:col>
                    <xdr:colOff>571500</xdr:colOff>
                    <xdr:row>41</xdr:row>
                    <xdr:rowOff>9525</xdr:rowOff>
                  </to>
                </anchor>
              </controlPr>
            </control>
          </mc:Choice>
        </mc:AlternateContent>
        <mc:AlternateContent xmlns:mc="http://schemas.openxmlformats.org/markup-compatibility/2006">
          <mc:Choice Requires="x14">
            <control shapeId="1363" r:id="rId155" name="Check Box 339">
              <controlPr defaultSize="0" autoFill="0" autoLine="0" autoPict="0" altText="Onay Kutusu">
                <anchor moveWithCells="1">
                  <from>
                    <xdr:col>0</xdr:col>
                    <xdr:colOff>266700</xdr:colOff>
                    <xdr:row>41</xdr:row>
                    <xdr:rowOff>9525</xdr:rowOff>
                  </from>
                  <to>
                    <xdr:col>0</xdr:col>
                    <xdr:colOff>571500</xdr:colOff>
                    <xdr:row>42</xdr:row>
                    <xdr:rowOff>9525</xdr:rowOff>
                  </to>
                </anchor>
              </controlPr>
            </control>
          </mc:Choice>
        </mc:AlternateContent>
        <mc:AlternateContent xmlns:mc="http://schemas.openxmlformats.org/markup-compatibility/2006">
          <mc:Choice Requires="x14">
            <control shapeId="1364" r:id="rId156" name="Check Box 340">
              <controlPr defaultSize="0" autoFill="0" autoLine="0" autoPict="0" altText="Onay Kutusu">
                <anchor moveWithCells="1">
                  <from>
                    <xdr:col>0</xdr:col>
                    <xdr:colOff>266700</xdr:colOff>
                    <xdr:row>42</xdr:row>
                    <xdr:rowOff>9525</xdr:rowOff>
                  </from>
                  <to>
                    <xdr:col>0</xdr:col>
                    <xdr:colOff>571500</xdr:colOff>
                    <xdr:row>43</xdr:row>
                    <xdr:rowOff>9525</xdr:rowOff>
                  </to>
                </anchor>
              </controlPr>
            </control>
          </mc:Choice>
        </mc:AlternateContent>
        <mc:AlternateContent xmlns:mc="http://schemas.openxmlformats.org/markup-compatibility/2006">
          <mc:Choice Requires="x14">
            <control shapeId="1365" r:id="rId157" name="Check Box 341">
              <controlPr defaultSize="0" autoFill="0" autoLine="0" autoPict="0" altText="Onay Kutusu">
                <anchor moveWithCells="1">
                  <from>
                    <xdr:col>3</xdr:col>
                    <xdr:colOff>333375</xdr:colOff>
                    <xdr:row>40</xdr:row>
                    <xdr:rowOff>200025</xdr:rowOff>
                  </from>
                  <to>
                    <xdr:col>3</xdr:col>
                    <xdr:colOff>638175</xdr:colOff>
                    <xdr:row>41</xdr:row>
                    <xdr:rowOff>200025</xdr:rowOff>
                  </to>
                </anchor>
              </controlPr>
            </control>
          </mc:Choice>
        </mc:AlternateContent>
        <mc:AlternateContent xmlns:mc="http://schemas.openxmlformats.org/markup-compatibility/2006">
          <mc:Choice Requires="x14">
            <control shapeId="1366" r:id="rId158" name="Check Box 342">
              <controlPr defaultSize="0" autoFill="0" autoLine="0" autoPict="0" altText="Onay Kutusu">
                <anchor moveWithCells="1">
                  <from>
                    <xdr:col>3</xdr:col>
                    <xdr:colOff>333375</xdr:colOff>
                    <xdr:row>40</xdr:row>
                    <xdr:rowOff>200025</xdr:rowOff>
                  </from>
                  <to>
                    <xdr:col>3</xdr:col>
                    <xdr:colOff>638175</xdr:colOff>
                    <xdr:row>41</xdr:row>
                    <xdr:rowOff>200025</xdr:rowOff>
                  </to>
                </anchor>
              </controlPr>
            </control>
          </mc:Choice>
        </mc:AlternateContent>
        <mc:AlternateContent xmlns:mc="http://schemas.openxmlformats.org/markup-compatibility/2006">
          <mc:Choice Requires="x14">
            <control shapeId="1367" r:id="rId159" name="Check Box 343">
              <controlPr defaultSize="0" autoFill="0" autoLine="0" autoPict="0" altText="Onay Kutusu">
                <anchor moveWithCells="1">
                  <from>
                    <xdr:col>3</xdr:col>
                    <xdr:colOff>333375</xdr:colOff>
                    <xdr:row>41</xdr:row>
                    <xdr:rowOff>200025</xdr:rowOff>
                  </from>
                  <to>
                    <xdr:col>3</xdr:col>
                    <xdr:colOff>638175</xdr:colOff>
                    <xdr:row>42</xdr:row>
                    <xdr:rowOff>200025</xdr:rowOff>
                  </to>
                </anchor>
              </controlPr>
            </control>
          </mc:Choice>
        </mc:AlternateContent>
        <mc:AlternateContent xmlns:mc="http://schemas.openxmlformats.org/markup-compatibility/2006">
          <mc:Choice Requires="x14">
            <control shapeId="1368" r:id="rId160" name="Check Box 344">
              <controlPr defaultSize="0" autoFill="0" autoLine="0" autoPict="0" altText="Onay Kutusu">
                <anchor moveWithCells="1">
                  <from>
                    <xdr:col>3</xdr:col>
                    <xdr:colOff>333375</xdr:colOff>
                    <xdr:row>41</xdr:row>
                    <xdr:rowOff>200025</xdr:rowOff>
                  </from>
                  <to>
                    <xdr:col>3</xdr:col>
                    <xdr:colOff>638175</xdr:colOff>
                    <xdr:row>42</xdr:row>
                    <xdr:rowOff>200025</xdr:rowOff>
                  </to>
                </anchor>
              </controlPr>
            </control>
          </mc:Choice>
        </mc:AlternateContent>
        <mc:AlternateContent xmlns:mc="http://schemas.openxmlformats.org/markup-compatibility/2006">
          <mc:Choice Requires="x14">
            <control shapeId="1369" r:id="rId161" name="Check Box 345">
              <controlPr defaultSize="0" autoFill="0" autoLine="0" autoPict="0" altText="Onay Kutusu">
                <anchor moveWithCells="1">
                  <from>
                    <xdr:col>3</xdr:col>
                    <xdr:colOff>333375</xdr:colOff>
                    <xdr:row>42</xdr:row>
                    <xdr:rowOff>200025</xdr:rowOff>
                  </from>
                  <to>
                    <xdr:col>3</xdr:col>
                    <xdr:colOff>638175</xdr:colOff>
                    <xdr:row>43</xdr:row>
                    <xdr:rowOff>200025</xdr:rowOff>
                  </to>
                </anchor>
              </controlPr>
            </control>
          </mc:Choice>
        </mc:AlternateContent>
        <mc:AlternateContent xmlns:mc="http://schemas.openxmlformats.org/markup-compatibility/2006">
          <mc:Choice Requires="x14">
            <control shapeId="1370" r:id="rId162" name="Check Box 346">
              <controlPr defaultSize="0" autoFill="0" autoLine="0" autoPict="0" altText="Onay Kutusu">
                <anchor moveWithCells="1">
                  <from>
                    <xdr:col>3</xdr:col>
                    <xdr:colOff>333375</xdr:colOff>
                    <xdr:row>42</xdr:row>
                    <xdr:rowOff>200025</xdr:rowOff>
                  </from>
                  <to>
                    <xdr:col>3</xdr:col>
                    <xdr:colOff>638175</xdr:colOff>
                    <xdr:row>43</xdr:row>
                    <xdr:rowOff>200025</xdr:rowOff>
                  </to>
                </anchor>
              </controlPr>
            </control>
          </mc:Choice>
        </mc:AlternateContent>
        <mc:AlternateContent xmlns:mc="http://schemas.openxmlformats.org/markup-compatibility/2006">
          <mc:Choice Requires="x14">
            <control shapeId="1371" r:id="rId163" name="Check Box 347">
              <controlPr defaultSize="0" autoFill="0" autoLine="0" autoPict="0" altText="Onay Kutusu">
                <anchor moveWithCells="1">
                  <from>
                    <xdr:col>0</xdr:col>
                    <xdr:colOff>266700</xdr:colOff>
                    <xdr:row>42</xdr:row>
                    <xdr:rowOff>9525</xdr:rowOff>
                  </from>
                  <to>
                    <xdr:col>0</xdr:col>
                    <xdr:colOff>571500</xdr:colOff>
                    <xdr:row>43</xdr:row>
                    <xdr:rowOff>9525</xdr:rowOff>
                  </to>
                </anchor>
              </controlPr>
            </control>
          </mc:Choice>
        </mc:AlternateContent>
        <mc:AlternateContent xmlns:mc="http://schemas.openxmlformats.org/markup-compatibility/2006">
          <mc:Choice Requires="x14">
            <control shapeId="1372" r:id="rId164" name="Check Box 348">
              <controlPr defaultSize="0" autoFill="0" autoLine="0" autoPict="0" altText="Onay Kutusu">
                <anchor moveWithCells="1">
                  <from>
                    <xdr:col>3</xdr:col>
                    <xdr:colOff>333375</xdr:colOff>
                    <xdr:row>42</xdr:row>
                    <xdr:rowOff>200025</xdr:rowOff>
                  </from>
                  <to>
                    <xdr:col>3</xdr:col>
                    <xdr:colOff>638175</xdr:colOff>
                    <xdr:row>43</xdr:row>
                    <xdr:rowOff>200025</xdr:rowOff>
                  </to>
                </anchor>
              </controlPr>
            </control>
          </mc:Choice>
        </mc:AlternateContent>
        <mc:AlternateContent xmlns:mc="http://schemas.openxmlformats.org/markup-compatibility/2006">
          <mc:Choice Requires="x14">
            <control shapeId="1373" r:id="rId165" name="Check Box 349">
              <controlPr defaultSize="0" autoFill="0" autoLine="0" autoPict="0" altText="Onay Kutusu">
                <anchor moveWithCells="1">
                  <from>
                    <xdr:col>3</xdr:col>
                    <xdr:colOff>333375</xdr:colOff>
                    <xdr:row>42</xdr:row>
                    <xdr:rowOff>200025</xdr:rowOff>
                  </from>
                  <to>
                    <xdr:col>3</xdr:col>
                    <xdr:colOff>638175</xdr:colOff>
                    <xdr:row>43</xdr:row>
                    <xdr:rowOff>200025</xdr:rowOff>
                  </to>
                </anchor>
              </controlPr>
            </control>
          </mc:Choice>
        </mc:AlternateContent>
        <mc:AlternateContent xmlns:mc="http://schemas.openxmlformats.org/markup-compatibility/2006">
          <mc:Choice Requires="x14">
            <control shapeId="1377" r:id="rId166" name="Check Box 353">
              <controlPr defaultSize="0" autoFill="0" autoLine="0" autoPict="0" altText="Onay Kutusu">
                <anchor moveWithCells="1">
                  <from>
                    <xdr:col>0</xdr:col>
                    <xdr:colOff>266700</xdr:colOff>
                    <xdr:row>58</xdr:row>
                    <xdr:rowOff>9525</xdr:rowOff>
                  </from>
                  <to>
                    <xdr:col>0</xdr:col>
                    <xdr:colOff>571500</xdr:colOff>
                    <xdr:row>59</xdr:row>
                    <xdr:rowOff>9525</xdr:rowOff>
                  </to>
                </anchor>
              </controlPr>
            </control>
          </mc:Choice>
        </mc:AlternateContent>
        <mc:AlternateContent xmlns:mc="http://schemas.openxmlformats.org/markup-compatibility/2006">
          <mc:Choice Requires="x14">
            <control shapeId="1378" r:id="rId167" name="Check Box 354">
              <controlPr defaultSize="0" autoFill="0" autoLine="0" autoPict="0" altText="Onay Kutusu">
                <anchor moveWithCells="1">
                  <from>
                    <xdr:col>0</xdr:col>
                    <xdr:colOff>266700</xdr:colOff>
                    <xdr:row>59</xdr:row>
                    <xdr:rowOff>9525</xdr:rowOff>
                  </from>
                  <to>
                    <xdr:col>0</xdr:col>
                    <xdr:colOff>571500</xdr:colOff>
                    <xdr:row>60</xdr:row>
                    <xdr:rowOff>9525</xdr:rowOff>
                  </to>
                </anchor>
              </controlPr>
            </control>
          </mc:Choice>
        </mc:AlternateContent>
        <mc:AlternateContent xmlns:mc="http://schemas.openxmlformats.org/markup-compatibility/2006">
          <mc:Choice Requires="x14">
            <control shapeId="1379" r:id="rId168" name="Check Box 355">
              <controlPr defaultSize="0" autoFill="0" autoLine="0" autoPict="0" altText="Onay Kutusu">
                <anchor moveWithCells="1">
                  <from>
                    <xdr:col>0</xdr:col>
                    <xdr:colOff>266700</xdr:colOff>
                    <xdr:row>59</xdr:row>
                    <xdr:rowOff>219075</xdr:rowOff>
                  </from>
                  <to>
                    <xdr:col>0</xdr:col>
                    <xdr:colOff>571500</xdr:colOff>
                    <xdr:row>61</xdr:row>
                    <xdr:rowOff>0</xdr:rowOff>
                  </to>
                </anchor>
              </controlPr>
            </control>
          </mc:Choice>
        </mc:AlternateContent>
        <mc:AlternateContent xmlns:mc="http://schemas.openxmlformats.org/markup-compatibility/2006">
          <mc:Choice Requires="x14">
            <control shapeId="1380" r:id="rId169" name="Check Box 356">
              <controlPr defaultSize="0" autoFill="0" autoLine="0" autoPict="0" altText="Onay Kutusu">
                <anchor moveWithCells="1">
                  <from>
                    <xdr:col>3</xdr:col>
                    <xdr:colOff>333375</xdr:colOff>
                    <xdr:row>58</xdr:row>
                    <xdr:rowOff>200025</xdr:rowOff>
                  </from>
                  <to>
                    <xdr:col>3</xdr:col>
                    <xdr:colOff>638175</xdr:colOff>
                    <xdr:row>59</xdr:row>
                    <xdr:rowOff>200025</xdr:rowOff>
                  </to>
                </anchor>
              </controlPr>
            </control>
          </mc:Choice>
        </mc:AlternateContent>
        <mc:AlternateContent xmlns:mc="http://schemas.openxmlformats.org/markup-compatibility/2006">
          <mc:Choice Requires="x14">
            <control shapeId="1381" r:id="rId170" name="Check Box 357">
              <controlPr defaultSize="0" autoFill="0" autoLine="0" autoPict="0" altText="Onay Kutusu">
                <anchor moveWithCells="1">
                  <from>
                    <xdr:col>3</xdr:col>
                    <xdr:colOff>333375</xdr:colOff>
                    <xdr:row>58</xdr:row>
                    <xdr:rowOff>200025</xdr:rowOff>
                  </from>
                  <to>
                    <xdr:col>3</xdr:col>
                    <xdr:colOff>638175</xdr:colOff>
                    <xdr:row>59</xdr:row>
                    <xdr:rowOff>200025</xdr:rowOff>
                  </to>
                </anchor>
              </controlPr>
            </control>
          </mc:Choice>
        </mc:AlternateContent>
        <mc:AlternateContent xmlns:mc="http://schemas.openxmlformats.org/markup-compatibility/2006">
          <mc:Choice Requires="x14">
            <control shapeId="1382" r:id="rId171" name="Check Box 358">
              <controlPr defaultSize="0" autoFill="0" autoLine="0" autoPict="0" altText="Onay Kutusu">
                <anchor moveWithCells="1">
                  <from>
                    <xdr:col>3</xdr:col>
                    <xdr:colOff>333375</xdr:colOff>
                    <xdr:row>59</xdr:row>
                    <xdr:rowOff>200025</xdr:rowOff>
                  </from>
                  <to>
                    <xdr:col>3</xdr:col>
                    <xdr:colOff>638175</xdr:colOff>
                    <xdr:row>60</xdr:row>
                    <xdr:rowOff>200025</xdr:rowOff>
                  </to>
                </anchor>
              </controlPr>
            </control>
          </mc:Choice>
        </mc:AlternateContent>
        <mc:AlternateContent xmlns:mc="http://schemas.openxmlformats.org/markup-compatibility/2006">
          <mc:Choice Requires="x14">
            <control shapeId="1383" r:id="rId172" name="Check Box 359">
              <controlPr defaultSize="0" autoFill="0" autoLine="0" autoPict="0" altText="Onay Kutusu">
                <anchor moveWithCells="1">
                  <from>
                    <xdr:col>3</xdr:col>
                    <xdr:colOff>333375</xdr:colOff>
                    <xdr:row>59</xdr:row>
                    <xdr:rowOff>200025</xdr:rowOff>
                  </from>
                  <to>
                    <xdr:col>3</xdr:col>
                    <xdr:colOff>638175</xdr:colOff>
                    <xdr:row>60</xdr:row>
                    <xdr:rowOff>200025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xWindow="211" yWindow="501" count="3">
        <x14:dataValidation type="list" allowBlank="1" showInputMessage="1" showErrorMessage="1" xr:uid="{00000000-0002-0000-0000-000001000000}">
          <x14:formula1>
            <xm:f>Tablolar!$B$2:$B$16</xm:f>
          </x14:formula1>
          <xm:sqref>B3</xm:sqref>
        </x14:dataValidation>
        <x14:dataValidation type="list" allowBlank="1" showInputMessage="1" showErrorMessage="1" xr:uid="{00000000-0002-0000-0000-000002000000}">
          <x14:formula1>
            <xm:f>Tablolar!$E$29:$E$30</xm:f>
          </x14:formula1>
          <xm:sqref>F5</xm:sqref>
        </x14:dataValidation>
        <x14:dataValidation type="list" allowBlank="1" showInputMessage="1" showErrorMessage="1" xr:uid="{00000000-0002-0000-0000-000003000000}">
          <x14:formula1>
            <xm:f>Tablolar!$I$29:$I$30</xm:f>
          </x14:formula1>
          <xm:sqref>J16:J61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3:J11"/>
  <sheetViews>
    <sheetView workbookViewId="0">
      <selection activeCell="C3" sqref="C3"/>
    </sheetView>
  </sheetViews>
  <sheetFormatPr defaultRowHeight="15" x14ac:dyDescent="0.25"/>
  <cols>
    <col min="4" max="4" width="172.140625" customWidth="1"/>
  </cols>
  <sheetData>
    <row r="3" spans="3:10" x14ac:dyDescent="0.25">
      <c r="C3" t="s">
        <v>31</v>
      </c>
      <c r="D3">
        <f>IF(AND($C$3="F",((2.5*(C7*F9*(1+(J5+J7+J9+J11))*J3))&lt;=0.3)),IF(((2.5*(C5*C7*F9*(1+(J5+J7+J9+J11))*J3))-
ROUNDDOWN(((2.5*(C5*C7*F9*(1+(J5+J7+J9+J11))*J3))),0))&lt;=0.5,ROUNDDOWN(((2.5*(C5*C7*F9*(1+(J5+J7+J9+J11))*J3))),0)+0.5,ROUNDUP(((2.5*(C5*C7*F9*(1+(J5+J7+J9+J11))*J3))),0)),IF(AND($C$3="F",((2.5*(C7*F9*(1+(J5+J7+J9+J11))*J3))&gt;0.3)),IF((C5*0.3)-ROUNDDOWN(C5*0.3,0)&lt;=0.5,ROUNDDOWN(C5*0.3,0)+0.5,ROUNDUP(C5*0.3,0)),IF(AND($B$3="OTOBÜS",((0.5*(C7*F9*(1+(J5+J7+J9+J11))*J3))&lt;=0.3)),IF(((0.5*(C5*C7*F9*(1+(J5+J7+J9+J11))*J3))-
ROUNDDOWN(((0.5*(C5*C7*F9*(1+(J5+J7+J9+J11))*J3))),0))&lt;=0.5,ROUNDDOWN(((0.5*(C5*C7*F9*(1+(J5+J7+J9+J11))*J3))),0)+0.5,ROUNDUP(((0.5*(C5*C7*F9*(1+(J5+J7+J9+J11))*J3))),0)),IF(AND($B$3="OTOBÜS",((0.5*(C7*F9*(1+(J5+J7+J9+J11))*J3))&gt;0.3)),IF((C5*0.3)-ROUNDDOWN(C5*0.3,0)&lt;=0.5,ROUNDDOWN(C5*0.3,0)+0.5,ROUNDUP(C5*0.3,0)),IF((C7*F9*(1+(J5+J7+J9+J11))*J3)&lt;=0.3,IF(((C5*C7*F9*(1+(J5+J7+J9+J11))*J3)-
ROUNDDOWN((C5*C7*F9*(1+(J5+J7+J9+J11))*J3),0))&lt;=0.5,(ROUNDDOWN((C5*C7*F9*(1+(J5+J7+J9+J11))*J3),0)+0.5),ROUNDUP((C5*C7*F9*(1+(J5+J7+J9+J11))*J3),0)),IF((C5*0.3)-ROUNDDOWN(C5*0.3,0)&lt;=0.5,ROUNDDOWN(C5*0.3,0)+0.5,ROUNDUP(C5*0.3,0)))))))</f>
        <v>0.5</v>
      </c>
      <c r="J3">
        <v>1E-3</v>
      </c>
    </row>
    <row r="5" spans="3:10" x14ac:dyDescent="0.25">
      <c r="C5">
        <v>0</v>
      </c>
      <c r="J5">
        <v>1</v>
      </c>
    </row>
    <row r="7" spans="3:10" x14ac:dyDescent="0.25">
      <c r="C7">
        <v>0</v>
      </c>
      <c r="J7">
        <v>1</v>
      </c>
    </row>
    <row r="9" spans="3:10" x14ac:dyDescent="0.25">
      <c r="D9">
        <f>(2.5*(C7*F9*(1+(J5+J7+J9+J11))*J3))</f>
        <v>0</v>
      </c>
      <c r="F9">
        <v>1</v>
      </c>
      <c r="J9">
        <v>1</v>
      </c>
    </row>
    <row r="11" spans="3:10" x14ac:dyDescent="0.25">
      <c r="J11">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B132"/>
  <sheetViews>
    <sheetView showGridLines="0" topLeftCell="B1" zoomScaleNormal="100" workbookViewId="0">
      <selection activeCell="B20" sqref="B20"/>
    </sheetView>
  </sheetViews>
  <sheetFormatPr defaultRowHeight="15" x14ac:dyDescent="0.25"/>
  <cols>
    <col min="2" max="2" width="148.28515625" customWidth="1"/>
  </cols>
  <sheetData>
    <row r="1" spans="2:2" s="135" customFormat="1" x14ac:dyDescent="0.25"/>
    <row r="2" spans="2:2" x14ac:dyDescent="0.25">
      <c r="B2" s="49"/>
    </row>
    <row r="3" spans="2:2" ht="15.75" x14ac:dyDescent="0.25">
      <c r="B3" s="175" t="s">
        <v>261</v>
      </c>
    </row>
    <row r="4" spans="2:2" ht="15.75" x14ac:dyDescent="0.25">
      <c r="B4" s="176"/>
    </row>
    <row r="5" spans="2:2" ht="15.75" x14ac:dyDescent="0.25">
      <c r="B5" s="177" t="s">
        <v>262</v>
      </c>
    </row>
    <row r="6" spans="2:2" ht="31.5" x14ac:dyDescent="0.25">
      <c r="B6" s="179" t="s">
        <v>263</v>
      </c>
    </row>
    <row r="7" spans="2:2" ht="15.75" x14ac:dyDescent="0.25">
      <c r="B7" s="180" t="s">
        <v>264</v>
      </c>
    </row>
    <row r="8" spans="2:2" ht="15.75" x14ac:dyDescent="0.25">
      <c r="B8" s="181" t="s">
        <v>265</v>
      </c>
    </row>
    <row r="9" spans="2:2" ht="15.75" x14ac:dyDescent="0.25">
      <c r="B9" s="181" t="s">
        <v>266</v>
      </c>
    </row>
    <row r="10" spans="2:2" ht="15.75" x14ac:dyDescent="0.25">
      <c r="B10" s="181" t="s">
        <v>267</v>
      </c>
    </row>
    <row r="11" spans="2:2" ht="15.75" x14ac:dyDescent="0.25">
      <c r="B11" s="181" t="s">
        <v>268</v>
      </c>
    </row>
    <row r="12" spans="2:2" ht="15.75" x14ac:dyDescent="0.25">
      <c r="B12" s="180" t="s">
        <v>269</v>
      </c>
    </row>
    <row r="13" spans="2:2" s="133" customFormat="1" ht="15.75" x14ac:dyDescent="0.25">
      <c r="B13" s="177" t="s">
        <v>270</v>
      </c>
    </row>
    <row r="14" spans="2:2" s="133" customFormat="1" x14ac:dyDescent="0.25">
      <c r="B14"/>
    </row>
    <row r="15" spans="2:2" s="133" customFormat="1" ht="31.5" x14ac:dyDescent="0.25">
      <c r="B15" s="183" t="s">
        <v>271</v>
      </c>
    </row>
    <row r="16" spans="2:2" s="133" customFormat="1" x14ac:dyDescent="0.25">
      <c r="B16"/>
    </row>
    <row r="17" spans="2:2" s="133" customFormat="1" ht="15.75" x14ac:dyDescent="0.25">
      <c r="B17" s="182" t="s">
        <v>272</v>
      </c>
    </row>
    <row r="18" spans="2:2" s="133" customFormat="1" ht="15.75" x14ac:dyDescent="0.25">
      <c r="B18" s="184" t="s">
        <v>273</v>
      </c>
    </row>
    <row r="19" spans="2:2" s="133" customFormat="1" ht="15.75" x14ac:dyDescent="0.25">
      <c r="B19" s="184" t="s">
        <v>274</v>
      </c>
    </row>
    <row r="20" spans="2:2" s="133" customFormat="1" ht="15.75" x14ac:dyDescent="0.25">
      <c r="B20" s="184" t="s">
        <v>275</v>
      </c>
    </row>
    <row r="21" spans="2:2" ht="15.75" x14ac:dyDescent="0.25">
      <c r="B21" s="180" t="s">
        <v>276</v>
      </c>
    </row>
    <row r="23" spans="2:2" ht="15.75" x14ac:dyDescent="0.25">
      <c r="B23" s="182" t="s">
        <v>277</v>
      </c>
    </row>
    <row r="24" spans="2:2" ht="15.75" x14ac:dyDescent="0.25">
      <c r="B24" s="177" t="s">
        <v>278</v>
      </c>
    </row>
    <row r="25" spans="2:2" ht="15.75" x14ac:dyDescent="0.25">
      <c r="B25" s="185" t="s">
        <v>279</v>
      </c>
    </row>
    <row r="26" spans="2:2" x14ac:dyDescent="0.25">
      <c r="B26" s="186" t="s">
        <v>280</v>
      </c>
    </row>
    <row r="27" spans="2:2" x14ac:dyDescent="0.25">
      <c r="B27" s="186" t="s">
        <v>281</v>
      </c>
    </row>
    <row r="28" spans="2:2" x14ac:dyDescent="0.25">
      <c r="B28" s="186" t="s">
        <v>282</v>
      </c>
    </row>
    <row r="29" spans="2:2" ht="30.75" x14ac:dyDescent="0.25">
      <c r="B29" s="187" t="s">
        <v>283</v>
      </c>
    </row>
    <row r="30" spans="2:2" x14ac:dyDescent="0.25">
      <c r="B30" s="187"/>
    </row>
    <row r="31" spans="2:2" x14ac:dyDescent="0.25">
      <c r="B31" s="187"/>
    </row>
    <row r="32" spans="2:2" ht="15.75" x14ac:dyDescent="0.25">
      <c r="B32" s="185" t="s">
        <v>284</v>
      </c>
    </row>
    <row r="33" spans="2:2" x14ac:dyDescent="0.25">
      <c r="B33" s="186" t="s">
        <v>285</v>
      </c>
    </row>
    <row r="34" spans="2:2" x14ac:dyDescent="0.25">
      <c r="B34" s="186" t="s">
        <v>286</v>
      </c>
    </row>
    <row r="35" spans="2:2" x14ac:dyDescent="0.25">
      <c r="B35" s="186" t="s">
        <v>287</v>
      </c>
    </row>
    <row r="36" spans="2:2" x14ac:dyDescent="0.25">
      <c r="B36" s="186" t="s">
        <v>288</v>
      </c>
    </row>
    <row r="37" spans="2:2" x14ac:dyDescent="0.25">
      <c r="B37" s="188" t="s">
        <v>289</v>
      </c>
    </row>
    <row r="38" spans="2:2" ht="63" x14ac:dyDescent="0.25">
      <c r="B38" s="185" t="s">
        <v>290</v>
      </c>
    </row>
    <row r="39" spans="2:2" ht="15.75" x14ac:dyDescent="0.25">
      <c r="B39" s="189"/>
    </row>
    <row r="40" spans="2:2" ht="31.5" x14ac:dyDescent="0.25">
      <c r="B40" s="185" t="s">
        <v>291</v>
      </c>
    </row>
    <row r="42" spans="2:2" ht="15.75" x14ac:dyDescent="0.25">
      <c r="B42" s="179"/>
    </row>
    <row r="44" spans="2:2" ht="31.5" x14ac:dyDescent="0.25">
      <c r="B44" s="185" t="s">
        <v>292</v>
      </c>
    </row>
    <row r="45" spans="2:2" ht="15.75" x14ac:dyDescent="0.25">
      <c r="B45" s="179"/>
    </row>
    <row r="46" spans="2:2" ht="31.5" x14ac:dyDescent="0.25">
      <c r="B46" s="185" t="s">
        <v>293</v>
      </c>
    </row>
    <row r="48" spans="2:2" ht="15.75" x14ac:dyDescent="0.25">
      <c r="B48" s="179"/>
    </row>
    <row r="50" spans="2:2" ht="15.75" x14ac:dyDescent="0.25">
      <c r="B50" s="185" t="s">
        <v>294</v>
      </c>
    </row>
    <row r="52" spans="2:2" s="133" customFormat="1" ht="15.75" x14ac:dyDescent="0.25">
      <c r="B52" s="179"/>
    </row>
    <row r="53" spans="2:2" s="134" customFormat="1" ht="105.75" customHeight="1" x14ac:dyDescent="0.25">
      <c r="B53"/>
    </row>
    <row r="54" spans="2:2" s="133" customFormat="1" ht="31.5" x14ac:dyDescent="0.25">
      <c r="B54" s="185" t="s">
        <v>295</v>
      </c>
    </row>
    <row r="55" spans="2:2" ht="15.75" x14ac:dyDescent="0.25">
      <c r="B55" s="179"/>
    </row>
    <row r="56" spans="2:2" ht="31.5" x14ac:dyDescent="0.25">
      <c r="B56" s="185" t="s">
        <v>296</v>
      </c>
    </row>
    <row r="58" spans="2:2" ht="15.75" x14ac:dyDescent="0.25">
      <c r="B58" s="178"/>
    </row>
    <row r="60" spans="2:2" ht="15.75" x14ac:dyDescent="0.25">
      <c r="B60" s="185" t="s">
        <v>297</v>
      </c>
    </row>
    <row r="62" spans="2:2" ht="15.75" x14ac:dyDescent="0.25">
      <c r="B62" s="179"/>
    </row>
    <row r="64" spans="2:2" ht="15.75" x14ac:dyDescent="0.25">
      <c r="B64" s="185" t="s">
        <v>298</v>
      </c>
    </row>
    <row r="66" spans="2:2" ht="15.75" x14ac:dyDescent="0.25">
      <c r="B66" s="179"/>
    </row>
    <row r="68" spans="2:2" ht="15.75" x14ac:dyDescent="0.25">
      <c r="B68" s="185" t="s">
        <v>299</v>
      </c>
    </row>
    <row r="70" spans="2:2" ht="15.75" x14ac:dyDescent="0.25">
      <c r="B70" s="179"/>
    </row>
    <row r="72" spans="2:2" ht="31.5" x14ac:dyDescent="0.25">
      <c r="B72" s="185" t="s">
        <v>300</v>
      </c>
    </row>
    <row r="74" spans="2:2" ht="15.75" x14ac:dyDescent="0.25">
      <c r="B74" s="179"/>
    </row>
    <row r="76" spans="2:2" ht="31.5" x14ac:dyDescent="0.25">
      <c r="B76" s="185" t="s">
        <v>301</v>
      </c>
    </row>
    <row r="78" spans="2:2" ht="15.75" x14ac:dyDescent="0.25">
      <c r="B78" s="179"/>
    </row>
    <row r="80" spans="2:2" ht="31.5" x14ac:dyDescent="0.25">
      <c r="B80" s="185" t="s">
        <v>302</v>
      </c>
    </row>
    <row r="82" spans="2:2" ht="15.75" x14ac:dyDescent="0.25">
      <c r="B82" s="179"/>
    </row>
    <row r="84" spans="2:2" ht="31.5" x14ac:dyDescent="0.25">
      <c r="B84" s="185" t="s">
        <v>303</v>
      </c>
    </row>
    <row r="86" spans="2:2" ht="15.75" x14ac:dyDescent="0.25">
      <c r="B86" s="179"/>
    </row>
    <row r="88" spans="2:2" ht="15.75" x14ac:dyDescent="0.25">
      <c r="B88" s="185" t="s">
        <v>304</v>
      </c>
    </row>
    <row r="90" spans="2:2" ht="15.75" x14ac:dyDescent="0.25">
      <c r="B90" s="179"/>
    </row>
    <row r="92" spans="2:2" ht="31.5" x14ac:dyDescent="0.25">
      <c r="B92" s="185" t="s">
        <v>305</v>
      </c>
    </row>
    <row r="94" spans="2:2" ht="15.75" x14ac:dyDescent="0.25">
      <c r="B94" s="179"/>
    </row>
    <row r="96" spans="2:2" ht="31.5" x14ac:dyDescent="0.25">
      <c r="B96" s="185" t="s">
        <v>306</v>
      </c>
    </row>
    <row r="98" spans="2:2" ht="15.75" x14ac:dyDescent="0.25">
      <c r="B98" s="179"/>
    </row>
    <row r="100" spans="2:2" ht="31.5" x14ac:dyDescent="0.25">
      <c r="B100" s="185" t="s">
        <v>307</v>
      </c>
    </row>
    <row r="102" spans="2:2" ht="15.75" x14ac:dyDescent="0.25">
      <c r="B102" s="179"/>
    </row>
    <row r="104" spans="2:2" ht="63" x14ac:dyDescent="0.25">
      <c r="B104" s="185" t="s">
        <v>308</v>
      </c>
    </row>
    <row r="106" spans="2:2" ht="15.75" x14ac:dyDescent="0.25">
      <c r="B106" s="179"/>
    </row>
    <row r="108" spans="2:2" ht="31.5" x14ac:dyDescent="0.25">
      <c r="B108" s="185" t="s">
        <v>309</v>
      </c>
    </row>
    <row r="110" spans="2:2" ht="15.75" x14ac:dyDescent="0.25">
      <c r="B110" s="179"/>
    </row>
    <row r="112" spans="2:2" ht="63" x14ac:dyDescent="0.25">
      <c r="B112" s="185" t="s">
        <v>310</v>
      </c>
    </row>
    <row r="114" spans="2:2" ht="15.75" x14ac:dyDescent="0.25">
      <c r="B114" s="179"/>
    </row>
    <row r="116" spans="2:2" ht="15.75" x14ac:dyDescent="0.25">
      <c r="B116" s="179"/>
    </row>
    <row r="117" spans="2:2" ht="15.75" x14ac:dyDescent="0.25">
      <c r="B117" s="179"/>
    </row>
    <row r="118" spans="2:2" ht="15.75" x14ac:dyDescent="0.25">
      <c r="B118" s="179"/>
    </row>
    <row r="120" spans="2:2" ht="15.75" x14ac:dyDescent="0.25">
      <c r="B120" s="179"/>
    </row>
    <row r="122" spans="2:2" ht="15.75" x14ac:dyDescent="0.25">
      <c r="B122" s="185" t="s">
        <v>311</v>
      </c>
    </row>
    <row r="124" spans="2:2" ht="15.75" x14ac:dyDescent="0.25">
      <c r="B124" s="179"/>
    </row>
    <row r="126" spans="2:2" ht="15.75" x14ac:dyDescent="0.25">
      <c r="B126" s="190" t="s">
        <v>312</v>
      </c>
    </row>
    <row r="127" spans="2:2" ht="15.75" x14ac:dyDescent="0.25">
      <c r="B127" s="190" t="s">
        <v>313</v>
      </c>
    </row>
    <row r="128" spans="2:2" ht="15.75" x14ac:dyDescent="0.25">
      <c r="B128" s="190" t="s">
        <v>314</v>
      </c>
    </row>
    <row r="129" spans="2:2" ht="15.75" x14ac:dyDescent="0.25">
      <c r="B129" s="190" t="s">
        <v>315</v>
      </c>
    </row>
    <row r="130" spans="2:2" ht="15.75" x14ac:dyDescent="0.25">
      <c r="B130" s="190" t="s">
        <v>316</v>
      </c>
    </row>
    <row r="131" spans="2:2" ht="15.75" x14ac:dyDescent="0.25">
      <c r="B131" s="179" t="s">
        <v>317</v>
      </c>
    </row>
    <row r="132" spans="2:2" ht="15.75" x14ac:dyDescent="0.25">
      <c r="B132" s="179" t="s">
        <v>318</v>
      </c>
    </row>
  </sheetData>
  <pageMargins left="0.7" right="0.7" top="0.75" bottom="0.75" header="0.3" footer="0.3"/>
  <pageSetup paperSize="9"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ayfa3"/>
  <dimension ref="A1:Z350"/>
  <sheetViews>
    <sheetView topLeftCell="K1" workbookViewId="0">
      <selection activeCell="Q28" sqref="Q28"/>
    </sheetView>
  </sheetViews>
  <sheetFormatPr defaultRowHeight="15" x14ac:dyDescent="0.25"/>
  <cols>
    <col min="2" max="2" width="26.85546875" bestFit="1" customWidth="1"/>
    <col min="4" max="4" width="7.42578125" customWidth="1"/>
    <col min="5" max="5" width="29" customWidth="1"/>
    <col min="6" max="6" width="9.140625" style="13"/>
    <col min="7" max="7" width="11.7109375" style="13" bestFit="1" customWidth="1"/>
    <col min="8" max="8" width="13.85546875" style="13" bestFit="1" customWidth="1"/>
    <col min="9" max="9" width="13.85546875" style="13" customWidth="1"/>
    <col min="10" max="10" width="13.85546875" style="13" bestFit="1" customWidth="1"/>
    <col min="11" max="11" width="13.85546875" style="13" customWidth="1"/>
    <col min="12" max="15" width="13.85546875" style="13" bestFit="1" customWidth="1"/>
    <col min="16" max="17" width="15.85546875" style="13" bestFit="1" customWidth="1"/>
    <col min="18" max="18" width="13.5703125" style="13" bestFit="1" customWidth="1"/>
    <col min="21" max="21" width="27.7109375" hidden="1" customWidth="1"/>
    <col min="22" max="22" width="0" hidden="1" customWidth="1"/>
    <col min="23" max="23" width="15.42578125" hidden="1" customWidth="1"/>
  </cols>
  <sheetData>
    <row r="1" spans="2:26" ht="18.75" x14ac:dyDescent="0.3">
      <c r="B1" s="68" t="s">
        <v>48</v>
      </c>
      <c r="C1" s="69"/>
      <c r="D1" s="3"/>
      <c r="E1" s="68" t="s">
        <v>34</v>
      </c>
      <c r="F1" s="70"/>
      <c r="G1" s="71" t="s">
        <v>52</v>
      </c>
      <c r="H1" s="35"/>
      <c r="I1" s="35"/>
      <c r="J1" s="35"/>
      <c r="K1" s="35"/>
      <c r="L1" s="35"/>
      <c r="M1" s="35"/>
      <c r="N1" s="35"/>
      <c r="O1" s="35"/>
      <c r="P1" s="35"/>
      <c r="Q1" s="35"/>
      <c r="R1" s="35"/>
      <c r="S1" s="3"/>
      <c r="T1" s="3"/>
      <c r="U1" s="3"/>
      <c r="V1" s="3"/>
      <c r="W1" s="3"/>
    </row>
    <row r="2" spans="2:26" ht="15.75" x14ac:dyDescent="0.25">
      <c r="B2" s="72" t="s">
        <v>10</v>
      </c>
      <c r="C2" s="72" t="s">
        <v>9</v>
      </c>
      <c r="D2" s="3"/>
      <c r="E2" s="73" t="s">
        <v>33</v>
      </c>
      <c r="F2" s="74" t="s">
        <v>39</v>
      </c>
      <c r="G2" s="74" t="s">
        <v>35</v>
      </c>
      <c r="H2" s="74" t="s">
        <v>36</v>
      </c>
      <c r="I2" s="74" t="s">
        <v>40</v>
      </c>
      <c r="J2" s="74" t="s">
        <v>41</v>
      </c>
      <c r="K2" s="74" t="s">
        <v>42</v>
      </c>
      <c r="L2" s="74" t="s">
        <v>43</v>
      </c>
      <c r="M2" s="74" t="s">
        <v>37</v>
      </c>
      <c r="N2" s="74" t="s">
        <v>38</v>
      </c>
      <c r="O2" s="74" t="s">
        <v>44</v>
      </c>
      <c r="P2" s="74" t="s">
        <v>45</v>
      </c>
      <c r="Q2" s="74" t="s">
        <v>46</v>
      </c>
      <c r="R2" s="74" t="s">
        <v>47</v>
      </c>
      <c r="S2" s="3"/>
      <c r="T2" s="3"/>
      <c r="U2" s="128">
        <f>V2*(Hesaplama!C5*Hesaplama!C7*Hesaplama!F9*(1+(Hesaplama!J5+Hesaplama!J7+Hesaplama!J9))*Hesaplama!J3)</f>
        <v>0</v>
      </c>
      <c r="V2" s="3">
        <v>2.5</v>
      </c>
      <c r="W2">
        <f>Hesaplama!C5*0.3</f>
        <v>0</v>
      </c>
      <c r="Z2" s="125"/>
    </row>
    <row r="3" spans="2:26" x14ac:dyDescent="0.25">
      <c r="B3" s="3" t="s">
        <v>11</v>
      </c>
      <c r="C3" s="3" t="s">
        <v>25</v>
      </c>
      <c r="D3" s="3"/>
      <c r="E3" s="3" t="s">
        <v>25</v>
      </c>
      <c r="F3" s="35">
        <v>0.65</v>
      </c>
      <c r="G3" s="35">
        <v>0.7</v>
      </c>
      <c r="H3" s="35">
        <v>0.75</v>
      </c>
      <c r="I3" s="35">
        <v>0.8</v>
      </c>
      <c r="J3" s="35">
        <v>0.8</v>
      </c>
      <c r="K3" s="35">
        <v>0.85</v>
      </c>
      <c r="L3" s="35">
        <v>0.85</v>
      </c>
      <c r="M3" s="35">
        <v>0.9</v>
      </c>
      <c r="N3" s="35">
        <v>0.95</v>
      </c>
      <c r="O3" s="35">
        <v>1</v>
      </c>
      <c r="P3" s="35">
        <v>1</v>
      </c>
      <c r="Q3" s="35">
        <v>1</v>
      </c>
      <c r="R3" s="35">
        <v>1</v>
      </c>
      <c r="S3" s="3"/>
      <c r="T3" s="3"/>
      <c r="U3" s="128">
        <f>U2/1000</f>
        <v>0</v>
      </c>
      <c r="V3" s="3"/>
      <c r="W3" s="128">
        <f>W2/1000</f>
        <v>0</v>
      </c>
    </row>
    <row r="4" spans="2:26" x14ac:dyDescent="0.25">
      <c r="B4" s="3" t="s">
        <v>12</v>
      </c>
      <c r="C4" s="3" t="s">
        <v>25</v>
      </c>
      <c r="D4" s="3"/>
      <c r="E4" s="3" t="s">
        <v>26</v>
      </c>
      <c r="F4" s="35">
        <v>0.65</v>
      </c>
      <c r="G4" s="35">
        <v>0.65</v>
      </c>
      <c r="H4" s="35">
        <v>0.65</v>
      </c>
      <c r="I4" s="35">
        <v>0.65</v>
      </c>
      <c r="J4" s="35">
        <v>0.7</v>
      </c>
      <c r="K4" s="35">
        <v>0.7</v>
      </c>
      <c r="L4" s="35">
        <v>0.75</v>
      </c>
      <c r="M4" s="35">
        <v>0.75</v>
      </c>
      <c r="N4" s="35">
        <v>0.8</v>
      </c>
      <c r="O4" s="35">
        <v>0.85</v>
      </c>
      <c r="P4" s="35">
        <v>0.9</v>
      </c>
      <c r="Q4" s="35">
        <v>0.95</v>
      </c>
      <c r="R4" s="35">
        <v>1</v>
      </c>
      <c r="S4" s="3"/>
      <c r="T4" s="3"/>
      <c r="U4" s="128">
        <f>INT(U3)*1000</f>
        <v>0</v>
      </c>
      <c r="V4" s="3"/>
      <c r="W4" s="128">
        <f>INT(W3)*1000</f>
        <v>0</v>
      </c>
    </row>
    <row r="5" spans="2:26" x14ac:dyDescent="0.25">
      <c r="B5" s="3" t="s">
        <v>13</v>
      </c>
      <c r="C5" s="3" t="s">
        <v>26</v>
      </c>
      <c r="D5" s="3"/>
      <c r="E5" s="3" t="s">
        <v>28</v>
      </c>
      <c r="F5" s="35">
        <v>0.65</v>
      </c>
      <c r="G5" s="35">
        <v>0.65</v>
      </c>
      <c r="H5" s="35">
        <v>0.65</v>
      </c>
      <c r="I5" s="35">
        <v>0.65</v>
      </c>
      <c r="J5" s="35">
        <v>0.7</v>
      </c>
      <c r="K5" s="35">
        <v>0.7</v>
      </c>
      <c r="L5" s="35">
        <v>0.75</v>
      </c>
      <c r="M5" s="35">
        <v>0.75</v>
      </c>
      <c r="N5" s="35">
        <v>0.8</v>
      </c>
      <c r="O5" s="35">
        <v>0.85</v>
      </c>
      <c r="P5" s="35">
        <v>0.9</v>
      </c>
      <c r="Q5" s="35">
        <v>0.95</v>
      </c>
      <c r="R5" s="35">
        <v>1</v>
      </c>
      <c r="S5" s="3"/>
      <c r="T5" s="3"/>
      <c r="U5" s="129">
        <f>U2-U4</f>
        <v>0</v>
      </c>
      <c r="V5" s="3"/>
      <c r="W5" s="132">
        <f>W2-W4</f>
        <v>0</v>
      </c>
    </row>
    <row r="6" spans="2:26" x14ac:dyDescent="0.25">
      <c r="B6" s="3" t="s">
        <v>14</v>
      </c>
      <c r="C6" s="3" t="s">
        <v>26</v>
      </c>
      <c r="D6" s="3"/>
      <c r="E6" s="3" t="s">
        <v>30</v>
      </c>
      <c r="F6" s="35">
        <v>0.65</v>
      </c>
      <c r="G6" s="35">
        <v>0.65</v>
      </c>
      <c r="H6" s="35">
        <v>0.65</v>
      </c>
      <c r="I6" s="35">
        <v>0.65</v>
      </c>
      <c r="J6" s="35">
        <v>0.7</v>
      </c>
      <c r="K6" s="35">
        <v>0.7</v>
      </c>
      <c r="L6" s="35">
        <v>0.75</v>
      </c>
      <c r="M6" s="35">
        <v>0.75</v>
      </c>
      <c r="N6" s="35">
        <v>0.8</v>
      </c>
      <c r="O6" s="35">
        <v>0.85</v>
      </c>
      <c r="P6" s="35">
        <v>0.9</v>
      </c>
      <c r="Q6" s="35">
        <v>0.95</v>
      </c>
      <c r="R6" s="35">
        <v>1</v>
      </c>
      <c r="S6" s="3"/>
      <c r="T6" s="3"/>
      <c r="U6" s="128">
        <f>V6*(Hesaplama!C5*Hesaplama!C7*Hesaplama!F9*(1+(Hesaplama!J5+Hesaplama!J7+Hesaplama!J9))*Hesaplama!J3)</f>
        <v>0</v>
      </c>
      <c r="V6" s="3">
        <v>0.5</v>
      </c>
      <c r="W6" s="3"/>
    </row>
    <row r="7" spans="2:26" x14ac:dyDescent="0.25">
      <c r="B7" s="3" t="s">
        <v>15</v>
      </c>
      <c r="C7" s="3" t="s">
        <v>28</v>
      </c>
      <c r="D7" s="3"/>
      <c r="E7" s="3" t="s">
        <v>29</v>
      </c>
      <c r="F7" s="35">
        <v>0.65</v>
      </c>
      <c r="G7" s="35">
        <v>0.65</v>
      </c>
      <c r="H7" s="35">
        <v>0.65</v>
      </c>
      <c r="I7" s="35">
        <v>0.65</v>
      </c>
      <c r="J7" s="35">
        <v>0.7</v>
      </c>
      <c r="K7" s="35">
        <v>0.7</v>
      </c>
      <c r="L7" s="35">
        <v>0.75</v>
      </c>
      <c r="M7" s="35">
        <v>0.75</v>
      </c>
      <c r="N7" s="35">
        <v>0.8</v>
      </c>
      <c r="O7" s="35">
        <v>0.85</v>
      </c>
      <c r="P7" s="35">
        <v>0.9</v>
      </c>
      <c r="Q7" s="35">
        <v>0.95</v>
      </c>
      <c r="R7" s="35">
        <v>1</v>
      </c>
      <c r="S7" s="3"/>
      <c r="T7" s="3"/>
      <c r="U7" s="128">
        <f>U6/1000</f>
        <v>0</v>
      </c>
      <c r="V7" s="3"/>
      <c r="W7" s="3"/>
    </row>
    <row r="8" spans="2:26" x14ac:dyDescent="0.25">
      <c r="B8" s="3" t="s">
        <v>16</v>
      </c>
      <c r="C8" s="3" t="s">
        <v>28</v>
      </c>
      <c r="D8" s="3"/>
      <c r="E8" s="3" t="s">
        <v>27</v>
      </c>
      <c r="F8" s="35">
        <v>0.65</v>
      </c>
      <c r="G8" s="35">
        <v>0.65</v>
      </c>
      <c r="H8" s="35">
        <v>0.65</v>
      </c>
      <c r="I8" s="35">
        <v>0.65</v>
      </c>
      <c r="J8" s="35">
        <v>0.7</v>
      </c>
      <c r="K8" s="35">
        <v>0.7</v>
      </c>
      <c r="L8" s="35">
        <v>0.75</v>
      </c>
      <c r="M8" s="35">
        <v>0.75</v>
      </c>
      <c r="N8" s="35">
        <v>0.8</v>
      </c>
      <c r="O8" s="35">
        <v>0.85</v>
      </c>
      <c r="P8" s="35">
        <v>0.9</v>
      </c>
      <c r="Q8" s="35">
        <v>0.95</v>
      </c>
      <c r="R8" s="35">
        <v>1</v>
      </c>
      <c r="S8" s="3"/>
      <c r="T8" s="3"/>
      <c r="U8" s="128">
        <f>INT(U7)*1000</f>
        <v>0</v>
      </c>
      <c r="V8" s="3"/>
      <c r="W8" s="3"/>
    </row>
    <row r="9" spans="2:26" x14ac:dyDescent="0.25">
      <c r="B9" s="3" t="s">
        <v>17</v>
      </c>
      <c r="C9" s="3" t="s">
        <v>28</v>
      </c>
      <c r="D9" s="3"/>
      <c r="E9" s="3" t="s">
        <v>31</v>
      </c>
      <c r="F9" s="35">
        <v>0.65</v>
      </c>
      <c r="G9" s="35">
        <v>0.7</v>
      </c>
      <c r="H9" s="35">
        <v>0.75</v>
      </c>
      <c r="I9" s="35">
        <v>0.8</v>
      </c>
      <c r="J9" s="35">
        <v>0.8</v>
      </c>
      <c r="K9" s="35">
        <v>0.85</v>
      </c>
      <c r="L9" s="35">
        <v>0.85</v>
      </c>
      <c r="M9" s="35">
        <v>0.9</v>
      </c>
      <c r="N9" s="35">
        <v>0.95</v>
      </c>
      <c r="O9" s="35">
        <v>1</v>
      </c>
      <c r="P9" s="35">
        <v>1</v>
      </c>
      <c r="Q9" s="35">
        <v>1</v>
      </c>
      <c r="R9" s="35">
        <v>1</v>
      </c>
      <c r="S9" s="3"/>
      <c r="T9" s="3"/>
      <c r="U9" s="130">
        <f>U6-U8</f>
        <v>0</v>
      </c>
      <c r="V9" s="3"/>
      <c r="W9" s="126"/>
    </row>
    <row r="10" spans="2:26" x14ac:dyDescent="0.25">
      <c r="B10" s="3" t="s">
        <v>18</v>
      </c>
      <c r="C10" s="3" t="s">
        <v>29</v>
      </c>
      <c r="D10" s="3"/>
      <c r="E10" s="3"/>
      <c r="F10" s="35"/>
      <c r="G10" s="35"/>
      <c r="H10" s="35"/>
      <c r="I10" s="35"/>
      <c r="J10" s="35"/>
      <c r="K10" s="35"/>
      <c r="L10" s="35"/>
      <c r="M10" s="35"/>
      <c r="N10" s="35"/>
      <c r="O10" s="35"/>
      <c r="P10" s="35"/>
      <c r="Q10" s="35"/>
      <c r="R10" s="35"/>
      <c r="S10" s="3"/>
      <c r="T10" s="3"/>
      <c r="U10" s="128">
        <f>(Hesaplama!C5*Hesaplama!C7*Hesaplama!F9*(1+(Hesaplama!J5+Hesaplama!J7+Hesaplama!J9))*Hesaplama!J3)</f>
        <v>0</v>
      </c>
      <c r="V10" s="3"/>
      <c r="W10" s="3"/>
    </row>
    <row r="11" spans="2:26" ht="18.75" x14ac:dyDescent="0.3">
      <c r="B11" s="3" t="s">
        <v>19</v>
      </c>
      <c r="C11" s="3" t="s">
        <v>29</v>
      </c>
      <c r="D11" s="3"/>
      <c r="E11" s="75" t="s">
        <v>50</v>
      </c>
      <c r="F11" s="76"/>
      <c r="G11" s="77" t="s">
        <v>53</v>
      </c>
      <c r="H11" s="35"/>
      <c r="I11" s="35"/>
      <c r="J11" s="35"/>
      <c r="K11" s="35"/>
      <c r="L11" s="35"/>
      <c r="M11" s="35"/>
      <c r="N11" s="35"/>
      <c r="O11" s="35"/>
      <c r="P11" s="35"/>
      <c r="Q11" s="35"/>
      <c r="R11" s="35"/>
      <c r="S11" s="3"/>
      <c r="T11" s="3"/>
      <c r="U11" s="128">
        <f>U10/1000</f>
        <v>0</v>
      </c>
      <c r="V11" s="3"/>
      <c r="W11" s="3"/>
    </row>
    <row r="12" spans="2:26" x14ac:dyDescent="0.25">
      <c r="B12" s="3" t="s">
        <v>20</v>
      </c>
      <c r="C12" s="3" t="s">
        <v>29</v>
      </c>
      <c r="D12" s="3"/>
      <c r="E12" s="73" t="s">
        <v>51</v>
      </c>
      <c r="F12" s="74" t="s">
        <v>54</v>
      </c>
      <c r="G12" s="74" t="s">
        <v>56</v>
      </c>
      <c r="H12" s="74" t="s">
        <v>35</v>
      </c>
      <c r="I12" s="74" t="s">
        <v>57</v>
      </c>
      <c r="J12" s="74" t="s">
        <v>58</v>
      </c>
      <c r="K12" s="74" t="s">
        <v>59</v>
      </c>
      <c r="L12" s="74" t="s">
        <v>60</v>
      </c>
      <c r="M12" s="74" t="s">
        <v>38</v>
      </c>
      <c r="N12" s="74" t="s">
        <v>44</v>
      </c>
      <c r="O12" s="74" t="s">
        <v>61</v>
      </c>
      <c r="P12" s="74"/>
      <c r="Q12" s="74"/>
      <c r="R12" s="74"/>
      <c r="S12" s="3"/>
      <c r="T12" s="3"/>
      <c r="U12" s="128">
        <f>INT(U11)*1000</f>
        <v>0</v>
      </c>
      <c r="V12" s="3"/>
      <c r="W12" s="3"/>
    </row>
    <row r="13" spans="2:26" x14ac:dyDescent="0.25">
      <c r="B13" s="3" t="s">
        <v>21</v>
      </c>
      <c r="C13" s="3" t="s">
        <v>30</v>
      </c>
      <c r="D13" s="3"/>
      <c r="E13" s="3" t="s">
        <v>25</v>
      </c>
      <c r="F13" s="35">
        <v>1</v>
      </c>
      <c r="G13" s="35">
        <v>0.95</v>
      </c>
      <c r="H13" s="35">
        <v>0.9</v>
      </c>
      <c r="I13" s="35">
        <v>0.85</v>
      </c>
      <c r="J13" s="35">
        <v>0.8</v>
      </c>
      <c r="K13" s="35">
        <v>0.75</v>
      </c>
      <c r="L13" s="35">
        <v>0.7</v>
      </c>
      <c r="M13" s="35">
        <v>0.7</v>
      </c>
      <c r="N13" s="35">
        <v>0.7</v>
      </c>
      <c r="O13" s="35">
        <v>0.7</v>
      </c>
      <c r="P13" s="35"/>
      <c r="Q13" s="35"/>
      <c r="R13" s="35"/>
      <c r="S13" s="3"/>
      <c r="T13" s="3"/>
      <c r="U13" s="131">
        <f>U10-U12</f>
        <v>0</v>
      </c>
      <c r="V13" s="3"/>
      <c r="W13" s="127"/>
    </row>
    <row r="14" spans="2:26" x14ac:dyDescent="0.25">
      <c r="B14" s="3" t="s">
        <v>22</v>
      </c>
      <c r="C14" s="3" t="s">
        <v>27</v>
      </c>
      <c r="D14" s="3"/>
      <c r="E14" s="3" t="s">
        <v>26</v>
      </c>
      <c r="F14" s="35">
        <v>1</v>
      </c>
      <c r="G14" s="35">
        <v>1</v>
      </c>
      <c r="H14" s="35">
        <v>0.95</v>
      </c>
      <c r="I14" s="35">
        <v>0.95</v>
      </c>
      <c r="J14" s="35">
        <v>0.9</v>
      </c>
      <c r="K14" s="35">
        <v>0.9</v>
      </c>
      <c r="L14" s="35">
        <v>0.85</v>
      </c>
      <c r="M14" s="35">
        <v>0.8</v>
      </c>
      <c r="N14" s="35">
        <v>0.75</v>
      </c>
      <c r="O14" s="35">
        <v>0.7</v>
      </c>
      <c r="P14" s="35"/>
      <c r="Q14" s="35"/>
      <c r="R14" s="35"/>
      <c r="S14" s="3"/>
      <c r="T14" s="3"/>
      <c r="U14" s="3"/>
      <c r="V14" s="3"/>
      <c r="W14" s="3"/>
    </row>
    <row r="15" spans="2:26" x14ac:dyDescent="0.25">
      <c r="B15" s="3" t="s">
        <v>23</v>
      </c>
      <c r="C15" s="3" t="s">
        <v>31</v>
      </c>
      <c r="D15" s="3"/>
      <c r="E15" s="3" t="s">
        <v>28</v>
      </c>
      <c r="F15" s="35">
        <v>1</v>
      </c>
      <c r="G15" s="35">
        <v>1</v>
      </c>
      <c r="H15" s="35">
        <v>0.95</v>
      </c>
      <c r="I15" s="35">
        <v>0.95</v>
      </c>
      <c r="J15" s="35">
        <v>0.9</v>
      </c>
      <c r="K15" s="35">
        <v>0.9</v>
      </c>
      <c r="L15" s="35">
        <v>0.85</v>
      </c>
      <c r="M15" s="35">
        <v>0.8</v>
      </c>
      <c r="N15" s="35">
        <v>0.75</v>
      </c>
      <c r="O15" s="35">
        <v>0.7</v>
      </c>
      <c r="P15" s="35"/>
      <c r="Q15" s="35"/>
      <c r="R15" s="35"/>
      <c r="S15" s="3"/>
      <c r="T15" s="3"/>
      <c r="U15" s="3"/>
      <c r="V15" s="3"/>
      <c r="W15" s="3"/>
    </row>
    <row r="16" spans="2:26" x14ac:dyDescent="0.25">
      <c r="B16" s="3" t="s">
        <v>24</v>
      </c>
      <c r="C16" s="3" t="s">
        <v>30</v>
      </c>
      <c r="D16" s="3"/>
      <c r="E16" s="3" t="s">
        <v>30</v>
      </c>
      <c r="F16" s="35">
        <v>1</v>
      </c>
      <c r="G16" s="35">
        <v>1</v>
      </c>
      <c r="H16" s="35">
        <v>0.95</v>
      </c>
      <c r="I16" s="35">
        <v>0.95</v>
      </c>
      <c r="J16" s="35">
        <v>0.9</v>
      </c>
      <c r="K16" s="35">
        <v>0.9</v>
      </c>
      <c r="L16" s="35">
        <v>0.85</v>
      </c>
      <c r="M16" s="35">
        <v>0.8</v>
      </c>
      <c r="N16" s="35">
        <v>0.75</v>
      </c>
      <c r="O16" s="35">
        <v>0.7</v>
      </c>
      <c r="P16" s="35"/>
      <c r="Q16" s="35"/>
      <c r="R16" s="35"/>
      <c r="S16" s="3"/>
      <c r="T16" s="3"/>
      <c r="U16" s="3"/>
      <c r="V16" s="3"/>
      <c r="W16" s="3"/>
    </row>
    <row r="17" spans="2:23" x14ac:dyDescent="0.25">
      <c r="B17" s="68" t="s">
        <v>235</v>
      </c>
      <c r="C17" s="69"/>
      <c r="D17" s="3"/>
      <c r="E17" s="3" t="s">
        <v>27</v>
      </c>
      <c r="F17" s="35">
        <v>1</v>
      </c>
      <c r="G17" s="35">
        <v>1</v>
      </c>
      <c r="H17" s="35">
        <v>0.95</v>
      </c>
      <c r="I17" s="35">
        <v>0.95</v>
      </c>
      <c r="J17" s="35">
        <v>0.9</v>
      </c>
      <c r="K17" s="35">
        <v>0.9</v>
      </c>
      <c r="L17" s="35">
        <v>0.85</v>
      </c>
      <c r="M17" s="35">
        <v>0.8</v>
      </c>
      <c r="N17" s="35">
        <v>0.75</v>
      </c>
      <c r="O17" s="35">
        <v>0.7</v>
      </c>
      <c r="P17" s="35"/>
      <c r="Q17" s="35"/>
      <c r="R17" s="35"/>
      <c r="S17" s="3"/>
      <c r="T17" s="3"/>
      <c r="U17" s="3"/>
      <c r="V17" s="3"/>
      <c r="W17" s="3"/>
    </row>
    <row r="18" spans="2:23" x14ac:dyDescent="0.25">
      <c r="B18" s="72" t="s">
        <v>236</v>
      </c>
      <c r="C18" s="72" t="s">
        <v>53</v>
      </c>
      <c r="D18" s="3"/>
      <c r="E18" s="3" t="s">
        <v>31</v>
      </c>
      <c r="F18" s="35">
        <v>1</v>
      </c>
      <c r="G18" s="35">
        <v>0.95</v>
      </c>
      <c r="H18" s="35">
        <v>0.9</v>
      </c>
      <c r="I18" s="35">
        <v>0.85</v>
      </c>
      <c r="J18" s="35">
        <v>0.8</v>
      </c>
      <c r="K18" s="35">
        <v>0.75</v>
      </c>
      <c r="L18" s="35">
        <v>0.7</v>
      </c>
      <c r="M18" s="35">
        <v>0.7</v>
      </c>
      <c r="N18" s="35">
        <v>0.7</v>
      </c>
      <c r="O18" s="35">
        <v>0.7</v>
      </c>
      <c r="P18" s="35"/>
      <c r="Q18" s="35"/>
      <c r="R18" s="35"/>
      <c r="S18" s="3"/>
      <c r="T18" s="3"/>
      <c r="U18" s="3"/>
      <c r="V18" s="3"/>
      <c r="W18" s="3"/>
    </row>
    <row r="19" spans="2:23" x14ac:dyDescent="0.25">
      <c r="B19" s="78" t="s">
        <v>242</v>
      </c>
      <c r="C19" s="3">
        <v>0.65</v>
      </c>
      <c r="D19" s="3"/>
      <c r="E19" s="73" t="s">
        <v>55</v>
      </c>
      <c r="F19" s="74" t="s">
        <v>62</v>
      </c>
      <c r="G19" s="74" t="s">
        <v>63</v>
      </c>
      <c r="H19" s="74" t="s">
        <v>64</v>
      </c>
      <c r="I19" s="74" t="s">
        <v>65</v>
      </c>
      <c r="J19" s="74" t="s">
        <v>66</v>
      </c>
      <c r="K19" s="74" t="s">
        <v>67</v>
      </c>
      <c r="L19" s="74" t="s">
        <v>68</v>
      </c>
      <c r="M19" s="74"/>
      <c r="N19" s="74"/>
      <c r="O19" s="74"/>
      <c r="P19" s="74"/>
      <c r="Q19" s="74"/>
      <c r="R19" s="74"/>
      <c r="S19" s="3"/>
      <c r="T19" s="3"/>
      <c r="U19" s="3"/>
      <c r="V19" s="3"/>
      <c r="W19" s="3"/>
    </row>
    <row r="20" spans="2:23" x14ac:dyDescent="0.25">
      <c r="B20" s="78" t="s">
        <v>241</v>
      </c>
      <c r="C20" s="3">
        <v>0.7</v>
      </c>
      <c r="D20" s="3"/>
      <c r="E20" s="3" t="s">
        <v>29</v>
      </c>
      <c r="F20" s="35">
        <v>1</v>
      </c>
      <c r="G20" s="35">
        <v>0.95</v>
      </c>
      <c r="H20" s="35">
        <v>0.9</v>
      </c>
      <c r="I20" s="35">
        <v>0.85</v>
      </c>
      <c r="J20" s="35">
        <v>0.8</v>
      </c>
      <c r="K20" s="35">
        <v>0.75</v>
      </c>
      <c r="L20" s="35">
        <v>0.7</v>
      </c>
      <c r="M20" s="35">
        <v>0.7</v>
      </c>
      <c r="N20" s="35">
        <v>0.7</v>
      </c>
      <c r="O20" s="35">
        <v>0.7</v>
      </c>
      <c r="P20" s="35"/>
      <c r="Q20" s="35"/>
      <c r="R20" s="35"/>
      <c r="S20" s="3"/>
      <c r="T20" s="3"/>
      <c r="U20" s="3"/>
      <c r="V20" s="3"/>
      <c r="W20" s="3"/>
    </row>
    <row r="21" spans="2:23" x14ac:dyDescent="0.25">
      <c r="B21" s="78" t="s">
        <v>240</v>
      </c>
      <c r="C21" s="3">
        <v>0.75</v>
      </c>
      <c r="D21" s="3"/>
      <c r="E21" s="3"/>
      <c r="F21" s="35"/>
      <c r="G21" s="35"/>
      <c r="H21" s="35"/>
      <c r="I21" s="35"/>
      <c r="J21" s="35"/>
      <c r="K21" s="35"/>
      <c r="L21" s="35"/>
      <c r="M21" s="35"/>
      <c r="N21" s="35"/>
      <c r="O21" s="35"/>
      <c r="P21" s="35"/>
      <c r="Q21" s="35"/>
      <c r="R21" s="35"/>
      <c r="S21" s="3"/>
      <c r="T21" s="3"/>
      <c r="U21" s="3"/>
      <c r="V21" s="3"/>
      <c r="W21" s="3"/>
    </row>
    <row r="22" spans="2:23" ht="18.75" x14ac:dyDescent="0.3">
      <c r="B22" s="78" t="s">
        <v>239</v>
      </c>
      <c r="C22" s="3">
        <v>0.8</v>
      </c>
      <c r="D22" s="3"/>
      <c r="E22" s="75" t="s">
        <v>70</v>
      </c>
      <c r="F22" s="76"/>
      <c r="G22" s="77" t="s">
        <v>71</v>
      </c>
      <c r="H22" s="35"/>
      <c r="I22" s="35"/>
      <c r="J22" s="35"/>
      <c r="K22" s="35"/>
      <c r="L22" s="35"/>
      <c r="M22" s="35"/>
      <c r="N22" s="35"/>
      <c r="O22" s="35"/>
      <c r="P22" s="35"/>
      <c r="Q22" s="35"/>
      <c r="R22" s="35"/>
      <c r="S22" s="3"/>
      <c r="T22" s="3"/>
      <c r="U22" s="3"/>
      <c r="V22" s="3"/>
      <c r="W22" s="3"/>
    </row>
    <row r="23" spans="2:23" x14ac:dyDescent="0.25">
      <c r="B23" s="78" t="s">
        <v>238</v>
      </c>
      <c r="C23" s="3">
        <v>0.85</v>
      </c>
      <c r="D23" s="3"/>
      <c r="E23" s="73" t="s">
        <v>9</v>
      </c>
      <c r="F23" s="74" t="s">
        <v>73</v>
      </c>
      <c r="G23" s="74"/>
      <c r="H23" s="74"/>
      <c r="I23" s="35"/>
      <c r="J23" s="35"/>
      <c r="K23" s="35"/>
      <c r="L23" s="35">
        <f ca="1">IF(AND(YEAR(TODAY()) - Hesaplama!C11 &gt; 2,YEAR(TODAY()) - Hesaplama!C11 &lt;= 5),"3-5",0)</f>
        <v>0</v>
      </c>
      <c r="M23" s="35"/>
      <c r="N23" s="35"/>
      <c r="O23" s="35"/>
      <c r="P23" s="35"/>
      <c r="Q23" s="35"/>
      <c r="R23" s="35"/>
      <c r="S23" s="3"/>
      <c r="T23" s="3"/>
      <c r="U23" s="3"/>
      <c r="V23" s="3"/>
      <c r="W23" s="3"/>
    </row>
    <row r="24" spans="2:23" x14ac:dyDescent="0.25">
      <c r="B24" s="78" t="s">
        <v>244</v>
      </c>
      <c r="C24" s="3">
        <v>0.9</v>
      </c>
      <c r="D24" s="3"/>
      <c r="E24" s="3" t="s">
        <v>72</v>
      </c>
      <c r="F24" s="35">
        <v>-0.05</v>
      </c>
      <c r="G24" s="35" t="s">
        <v>76</v>
      </c>
      <c r="H24" s="35" t="s">
        <v>77</v>
      </c>
      <c r="I24" s="35"/>
      <c r="J24" s="79">
        <f ca="1">YEAR(TODAY())</f>
        <v>2026</v>
      </c>
      <c r="K24" s="35"/>
      <c r="L24" s="35"/>
      <c r="M24" s="35"/>
      <c r="N24" s="35"/>
      <c r="O24" s="35"/>
      <c r="P24" s="35"/>
      <c r="Q24" s="35"/>
      <c r="R24" s="35"/>
      <c r="S24" s="3"/>
      <c r="T24" s="3"/>
      <c r="U24" s="3"/>
      <c r="V24" s="3"/>
      <c r="W24" s="3"/>
    </row>
    <row r="25" spans="2:23" x14ac:dyDescent="0.25">
      <c r="B25" s="78" t="s">
        <v>243</v>
      </c>
      <c r="C25" s="3">
        <v>0.95</v>
      </c>
      <c r="D25" s="3"/>
      <c r="E25" s="3" t="s">
        <v>74</v>
      </c>
      <c r="F25" s="35">
        <v>-0.03</v>
      </c>
      <c r="G25" s="35" t="s">
        <v>8</v>
      </c>
      <c r="H25" s="35"/>
      <c r="I25" s="35"/>
      <c r="J25" s="35"/>
      <c r="K25" s="35"/>
      <c r="L25" s="35"/>
      <c r="M25" s="35"/>
      <c r="N25" s="35"/>
      <c r="O25" s="35"/>
      <c r="P25" s="35"/>
      <c r="Q25" s="35"/>
      <c r="R25" s="35"/>
      <c r="S25" s="3"/>
      <c r="T25" s="3"/>
      <c r="U25" s="3"/>
      <c r="V25" s="3"/>
      <c r="W25" s="3"/>
    </row>
    <row r="26" spans="2:23" x14ac:dyDescent="0.25">
      <c r="B26" s="78" t="s">
        <v>237</v>
      </c>
      <c r="C26" s="3">
        <v>1</v>
      </c>
      <c r="D26" s="3"/>
      <c r="E26" s="3" t="s">
        <v>75</v>
      </c>
      <c r="F26" s="35">
        <v>0.05</v>
      </c>
      <c r="G26" s="35" t="s">
        <v>78</v>
      </c>
      <c r="H26" s="35"/>
      <c r="I26" s="35"/>
      <c r="J26" s="35"/>
      <c r="K26" s="35"/>
      <c r="L26" s="35"/>
      <c r="M26" s="35"/>
      <c r="N26" s="35"/>
      <c r="O26" s="35"/>
      <c r="P26" s="35"/>
      <c r="Q26" s="35"/>
      <c r="R26" s="35"/>
      <c r="S26" s="3"/>
      <c r="T26" s="3"/>
      <c r="U26" s="3"/>
      <c r="V26" s="3"/>
      <c r="W26" s="3"/>
    </row>
    <row r="27" spans="2:23" x14ac:dyDescent="0.25">
      <c r="B27" s="3" t="str">
        <f ca="1">IF(YEAR(Hesaplama!F11) - Hesaplama!C11 &lt; 3,"0-2",IF(AND(YEAR(Hesaplama!F11) - Hesaplama!C11 &gt; 2,YEAR(Hesaplama!F11) - Hesaplama!C11 &lt;= 4),"3-4",IF(AND(YEAR(Hesaplama!F11) - Hesaplama!C11 &gt; 4,YEAR(Hesaplama!F11) - Hesaplama!C11 &lt;= 7),"5-7",IF(AND(YEAR(Hesaplama!F11) - Hesaplama!C11 &gt; 7,YEAR(Hesaplama!F11) - Hesaplama!C11 &lt;= 10),"8-10",IF(AND(YEAR(Hesaplama!F11) - Hesaplama!C11 &gt; 10,YEAR(Hesaplama!F11) - Hesaplama!C11 &lt;= 13),"11-13",IF(AND(YEAR(Hesaplama!F11) - Hesaplama!C11 &gt; 13,YEAR(Hesaplama!F11) - Hesaplama!C11 &lt;= 16),"14-16",IF(AND(YEAR(Hesaplama!F11) - Hesaplama!C11 &gt; 16,YEAR(Hesaplama!F11) - Hesaplama!C11 &lt;= 19),"17-19",IF(YEAR(Hesaplama!F11) - Hesaplama!C11 &gt; 19,"20 Üstü",0))))))))</f>
        <v>20 Üstü</v>
      </c>
      <c r="C27" s="3"/>
      <c r="D27" s="3"/>
      <c r="E27" s="3"/>
      <c r="F27" s="35"/>
      <c r="G27" s="35"/>
      <c r="H27" s="35"/>
      <c r="I27" s="35"/>
      <c r="J27" s="35"/>
      <c r="K27" s="35"/>
      <c r="L27" s="35"/>
      <c r="M27" s="35"/>
      <c r="N27" s="35"/>
      <c r="O27" s="35"/>
      <c r="P27" s="35"/>
      <c r="Q27" s="35"/>
      <c r="R27" s="35"/>
      <c r="S27" s="3"/>
      <c r="T27" s="3"/>
      <c r="U27" s="3"/>
      <c r="V27" s="3"/>
      <c r="W27" s="3"/>
    </row>
    <row r="28" spans="2:23" x14ac:dyDescent="0.25">
      <c r="B28" s="78"/>
      <c r="C28" s="3"/>
      <c r="D28" s="3"/>
      <c r="E28" s="75" t="s">
        <v>79</v>
      </c>
      <c r="F28" s="35"/>
      <c r="G28" s="35"/>
      <c r="H28" s="35"/>
      <c r="I28" s="164" t="s">
        <v>118</v>
      </c>
      <c r="J28" s="164"/>
      <c r="K28" s="35"/>
      <c r="L28" s="35"/>
      <c r="M28" s="35"/>
      <c r="N28" s="35"/>
      <c r="O28" s="35"/>
      <c r="P28" s="35"/>
      <c r="Q28" s="35"/>
      <c r="R28" s="35"/>
      <c r="S28" s="3"/>
      <c r="T28" s="3"/>
      <c r="U28" s="3"/>
      <c r="V28" s="3"/>
      <c r="W28" s="3"/>
    </row>
    <row r="29" spans="2:23" x14ac:dyDescent="0.25">
      <c r="B29" s="3"/>
      <c r="C29" s="3"/>
      <c r="D29" s="3"/>
      <c r="E29" s="3" t="s">
        <v>76</v>
      </c>
      <c r="F29" s="35"/>
      <c r="G29" s="35"/>
      <c r="H29" s="35"/>
      <c r="I29" s="35" t="s">
        <v>119</v>
      </c>
      <c r="J29" s="35"/>
      <c r="K29" s="35"/>
      <c r="L29" s="35"/>
      <c r="M29" s="35"/>
      <c r="N29" s="35"/>
      <c r="O29" s="35"/>
      <c r="P29" s="35"/>
      <c r="Q29" s="35"/>
      <c r="R29" s="35"/>
      <c r="S29" s="3"/>
      <c r="T29" s="3"/>
      <c r="U29" s="3"/>
      <c r="V29" s="3"/>
      <c r="W29" s="3"/>
    </row>
    <row r="30" spans="2:23" x14ac:dyDescent="0.25">
      <c r="B30" s="3"/>
      <c r="C30" s="3"/>
      <c r="D30" s="3"/>
      <c r="E30" s="3" t="s">
        <v>77</v>
      </c>
      <c r="F30" s="35"/>
      <c r="G30" s="35"/>
      <c r="H30" s="35"/>
      <c r="I30" s="35" t="s">
        <v>120</v>
      </c>
      <c r="J30" s="35"/>
      <c r="K30" s="35"/>
      <c r="L30" s="35"/>
      <c r="M30" s="35"/>
      <c r="N30" s="35"/>
      <c r="O30" s="35"/>
      <c r="P30" s="35"/>
      <c r="Q30" s="35"/>
      <c r="R30" s="35"/>
      <c r="S30" s="3"/>
      <c r="T30" s="3"/>
      <c r="U30" s="3"/>
      <c r="V30" s="3"/>
      <c r="W30" s="3"/>
    </row>
    <row r="31" spans="2:23" x14ac:dyDescent="0.25">
      <c r="B31" s="3"/>
      <c r="C31" s="3"/>
      <c r="D31" s="3"/>
      <c r="E31" s="3"/>
      <c r="F31" s="35"/>
      <c r="G31" s="35"/>
      <c r="H31" s="35"/>
      <c r="I31" s="35"/>
      <c r="J31" s="35"/>
      <c r="K31" s="35"/>
      <c r="L31" s="35"/>
      <c r="M31" s="35"/>
      <c r="N31" s="35"/>
      <c r="O31" s="35"/>
      <c r="P31" s="35"/>
      <c r="Q31" s="35"/>
      <c r="R31" s="35"/>
      <c r="S31" s="3"/>
      <c r="T31" s="3"/>
      <c r="U31" s="3"/>
      <c r="V31" s="3"/>
      <c r="W31" s="3"/>
    </row>
    <row r="32" spans="2:23" x14ac:dyDescent="0.25">
      <c r="B32" s="80" t="s">
        <v>111</v>
      </c>
      <c r="C32" s="3"/>
      <c r="D32" s="3"/>
      <c r="E32" s="80" t="s">
        <v>111</v>
      </c>
      <c r="F32" s="35"/>
      <c r="G32" s="35"/>
      <c r="H32" s="35"/>
      <c r="I32" s="147" t="s">
        <v>111</v>
      </c>
      <c r="J32" s="147"/>
      <c r="K32" s="81"/>
      <c r="L32" s="81"/>
      <c r="M32" s="35"/>
      <c r="N32" s="35"/>
      <c r="O32" s="35"/>
      <c r="P32" s="35"/>
      <c r="Q32" s="35"/>
      <c r="R32" s="35"/>
      <c r="S32" s="3"/>
      <c r="T32" s="3"/>
      <c r="U32" s="3"/>
      <c r="V32" s="3"/>
      <c r="W32" s="3"/>
    </row>
    <row r="33" spans="1:23" x14ac:dyDescent="0.25">
      <c r="A33" s="14" t="s">
        <v>116</v>
      </c>
      <c r="B33" s="82" t="s">
        <v>110</v>
      </c>
      <c r="C33" s="82" t="s">
        <v>73</v>
      </c>
      <c r="D33" s="83" t="s">
        <v>116</v>
      </c>
      <c r="E33" s="82" t="s">
        <v>112</v>
      </c>
      <c r="F33" s="82" t="s">
        <v>113</v>
      </c>
      <c r="G33" s="82" t="s">
        <v>114</v>
      </c>
      <c r="H33" s="84" t="s">
        <v>115</v>
      </c>
      <c r="I33" s="148" t="s">
        <v>117</v>
      </c>
      <c r="J33" s="148"/>
      <c r="K33" s="85" t="s">
        <v>119</v>
      </c>
      <c r="L33" s="85" t="s">
        <v>120</v>
      </c>
      <c r="M33" s="35"/>
      <c r="N33" s="35"/>
      <c r="O33" s="35"/>
      <c r="P33" s="35"/>
      <c r="Q33" s="35"/>
      <c r="R33" s="35"/>
      <c r="S33" s="3"/>
      <c r="T33" s="3"/>
      <c r="U33" s="3"/>
      <c r="V33" s="3"/>
      <c r="W33" s="3"/>
    </row>
    <row r="34" spans="1:23" ht="15.75" thickBot="1" x14ac:dyDescent="0.3">
      <c r="A34" t="b">
        <v>0</v>
      </c>
      <c r="B34" s="86" t="s">
        <v>5</v>
      </c>
      <c r="C34" s="87">
        <v>5</v>
      </c>
      <c r="D34" s="88" t="b">
        <v>0</v>
      </c>
      <c r="E34" s="89" t="s">
        <v>5</v>
      </c>
      <c r="F34" s="90">
        <v>1</v>
      </c>
      <c r="G34" s="91">
        <v>1.5</v>
      </c>
      <c r="H34" s="92">
        <v>2</v>
      </c>
      <c r="I34" s="163" t="s">
        <v>5</v>
      </c>
      <c r="J34" s="163"/>
      <c r="K34" s="93">
        <v>3</v>
      </c>
      <c r="L34" s="93">
        <v>1.5</v>
      </c>
      <c r="M34" s="35"/>
      <c r="N34" s="35"/>
      <c r="O34" s="35"/>
      <c r="P34" s="35"/>
      <c r="Q34" s="35"/>
      <c r="R34" s="35"/>
      <c r="S34" s="3"/>
      <c r="T34" s="3"/>
      <c r="U34" s="3"/>
      <c r="V34" s="3"/>
      <c r="W34" s="3"/>
    </row>
    <row r="35" spans="1:23" ht="15.75" thickBot="1" x14ac:dyDescent="0.3">
      <c r="A35" t="b">
        <v>0</v>
      </c>
      <c r="B35" s="86" t="s">
        <v>84</v>
      </c>
      <c r="C35" s="87">
        <v>1</v>
      </c>
      <c r="D35" s="88" t="b">
        <v>0</v>
      </c>
      <c r="E35" s="89" t="s">
        <v>84</v>
      </c>
      <c r="F35" s="94">
        <v>0.5</v>
      </c>
      <c r="G35" s="91">
        <v>1</v>
      </c>
      <c r="H35" s="92">
        <v>1.5</v>
      </c>
      <c r="I35" s="163" t="s">
        <v>84</v>
      </c>
      <c r="J35" s="163"/>
      <c r="K35" s="93">
        <v>0.5</v>
      </c>
      <c r="L35" s="93">
        <v>0.25</v>
      </c>
      <c r="M35" s="35"/>
      <c r="N35" s="35"/>
      <c r="O35" s="35"/>
      <c r="P35" s="35"/>
      <c r="Q35" s="35"/>
      <c r="R35" s="35"/>
      <c r="S35" s="3"/>
      <c r="T35" s="3"/>
      <c r="U35" s="3"/>
      <c r="V35" s="3"/>
      <c r="W35" s="3"/>
    </row>
    <row r="36" spans="1:23" ht="15.75" thickBot="1" x14ac:dyDescent="0.3">
      <c r="A36" t="b">
        <v>0</v>
      </c>
      <c r="B36" s="95" t="s">
        <v>85</v>
      </c>
      <c r="C36" s="96">
        <v>1</v>
      </c>
      <c r="D36" s="88" t="b">
        <v>0</v>
      </c>
      <c r="E36" s="97" t="s">
        <v>85</v>
      </c>
      <c r="F36" s="94">
        <v>0.5</v>
      </c>
      <c r="G36" s="91">
        <v>0.75</v>
      </c>
      <c r="H36" s="92">
        <v>1</v>
      </c>
      <c r="I36" s="162" t="s">
        <v>85</v>
      </c>
      <c r="J36" s="162"/>
      <c r="K36" s="93">
        <v>1</v>
      </c>
      <c r="L36" s="93">
        <v>0.5</v>
      </c>
      <c r="M36" s="35"/>
      <c r="N36" s="35"/>
      <c r="O36" s="35"/>
      <c r="P36" s="35"/>
      <c r="Q36" s="35"/>
      <c r="R36" s="35"/>
      <c r="S36" s="3"/>
      <c r="T36" s="3"/>
      <c r="U36" s="3"/>
      <c r="V36" s="3"/>
      <c r="W36" s="3"/>
    </row>
    <row r="37" spans="1:23" ht="15.75" thickBot="1" x14ac:dyDescent="0.3">
      <c r="A37" t="b">
        <v>0</v>
      </c>
      <c r="B37" s="95" t="s">
        <v>86</v>
      </c>
      <c r="C37" s="96">
        <v>1</v>
      </c>
      <c r="D37" s="88" t="b">
        <v>0</v>
      </c>
      <c r="E37" s="97" t="s">
        <v>86</v>
      </c>
      <c r="F37" s="94">
        <v>0.5</v>
      </c>
      <c r="G37" s="91">
        <v>0.75</v>
      </c>
      <c r="H37" s="92">
        <v>1</v>
      </c>
      <c r="I37" s="162" t="s">
        <v>86</v>
      </c>
      <c r="J37" s="162"/>
      <c r="K37" s="93">
        <v>1</v>
      </c>
      <c r="L37" s="93">
        <v>0.5</v>
      </c>
      <c r="M37" s="35"/>
      <c r="N37" s="35"/>
      <c r="O37" s="35"/>
      <c r="P37" s="35"/>
      <c r="Q37" s="35"/>
      <c r="R37" s="35"/>
      <c r="S37" s="3"/>
      <c r="T37" s="3"/>
      <c r="U37" s="3"/>
      <c r="V37" s="3"/>
      <c r="W37" s="3"/>
    </row>
    <row r="38" spans="1:23" ht="15.75" thickBot="1" x14ac:dyDescent="0.3">
      <c r="A38" t="b">
        <v>0</v>
      </c>
      <c r="B38" s="86" t="s">
        <v>87</v>
      </c>
      <c r="C38" s="87">
        <v>2</v>
      </c>
      <c r="D38" s="88" t="b">
        <v>0</v>
      </c>
      <c r="E38" s="89" t="s">
        <v>87</v>
      </c>
      <c r="F38" s="94">
        <v>0.5</v>
      </c>
      <c r="G38" s="91">
        <v>0.75</v>
      </c>
      <c r="H38" s="92">
        <v>1</v>
      </c>
      <c r="I38" s="163" t="s">
        <v>87</v>
      </c>
      <c r="J38" s="163"/>
      <c r="K38" s="93">
        <v>0.5</v>
      </c>
      <c r="L38" s="93">
        <v>0.25</v>
      </c>
      <c r="M38" s="35"/>
      <c r="N38" s="35"/>
      <c r="O38" s="35"/>
      <c r="P38" s="35"/>
      <c r="Q38" s="35"/>
      <c r="R38" s="35"/>
      <c r="S38" s="3"/>
      <c r="T38" s="3"/>
      <c r="U38" s="3"/>
      <c r="V38" s="3"/>
      <c r="W38" s="3"/>
    </row>
    <row r="39" spans="1:23" ht="15.75" thickBot="1" x14ac:dyDescent="0.3">
      <c r="A39" t="b">
        <v>0</v>
      </c>
      <c r="B39" s="86" t="s">
        <v>88</v>
      </c>
      <c r="C39" s="87">
        <v>2</v>
      </c>
      <c r="D39" s="88" t="b">
        <v>0</v>
      </c>
      <c r="E39" s="89" t="s">
        <v>88</v>
      </c>
      <c r="F39" s="94">
        <v>0.5</v>
      </c>
      <c r="G39" s="91">
        <v>0.75</v>
      </c>
      <c r="H39" s="92">
        <v>1</v>
      </c>
      <c r="I39" s="163" t="s">
        <v>88</v>
      </c>
      <c r="J39" s="163"/>
      <c r="K39" s="93">
        <v>0.5</v>
      </c>
      <c r="L39" s="93">
        <v>0.25</v>
      </c>
      <c r="M39" s="35"/>
      <c r="N39" s="35"/>
      <c r="O39" s="35"/>
      <c r="P39" s="35"/>
      <c r="Q39" s="35"/>
      <c r="R39" s="35"/>
      <c r="S39" s="3"/>
      <c r="T39" s="3"/>
      <c r="U39" s="3"/>
      <c r="V39" s="3"/>
      <c r="W39" s="3"/>
    </row>
    <row r="40" spans="1:23" ht="15.75" thickBot="1" x14ac:dyDescent="0.3">
      <c r="A40" t="b">
        <v>0</v>
      </c>
      <c r="B40" s="86" t="s">
        <v>89</v>
      </c>
      <c r="C40" s="87">
        <v>3</v>
      </c>
      <c r="D40" s="88" t="b">
        <v>0</v>
      </c>
      <c r="E40" s="89" t="s">
        <v>89</v>
      </c>
      <c r="F40" s="94">
        <v>1</v>
      </c>
      <c r="G40" s="91">
        <v>1.5</v>
      </c>
      <c r="H40" s="92">
        <v>2</v>
      </c>
      <c r="I40" s="163" t="s">
        <v>89</v>
      </c>
      <c r="J40" s="163"/>
      <c r="K40" s="93">
        <v>0.5</v>
      </c>
      <c r="L40" s="93">
        <v>0.25</v>
      </c>
      <c r="M40" s="35"/>
      <c r="N40" s="35"/>
      <c r="O40" s="35"/>
      <c r="P40" s="35"/>
      <c r="Q40" s="35"/>
      <c r="R40" s="35"/>
      <c r="S40" s="3"/>
      <c r="T40" s="3"/>
      <c r="U40" s="3"/>
      <c r="V40" s="3"/>
      <c r="W40" s="3"/>
    </row>
    <row r="41" spans="1:23" ht="15.75" thickBot="1" x14ac:dyDescent="0.3">
      <c r="A41" t="b">
        <v>0</v>
      </c>
      <c r="B41" s="86" t="s">
        <v>90</v>
      </c>
      <c r="C41" s="87">
        <v>3</v>
      </c>
      <c r="D41" s="88" t="b">
        <v>0</v>
      </c>
      <c r="E41" s="89" t="s">
        <v>90</v>
      </c>
      <c r="F41" s="94">
        <v>1</v>
      </c>
      <c r="G41" s="91">
        <v>1.5</v>
      </c>
      <c r="H41" s="92">
        <v>2</v>
      </c>
      <c r="I41" s="163" t="s">
        <v>90</v>
      </c>
      <c r="J41" s="163"/>
      <c r="K41" s="93">
        <v>0.5</v>
      </c>
      <c r="L41" s="93">
        <v>0.25</v>
      </c>
      <c r="M41" s="35"/>
      <c r="N41" s="35"/>
      <c r="O41" s="35"/>
      <c r="P41" s="35"/>
      <c r="Q41" s="35"/>
      <c r="R41" s="35"/>
      <c r="S41" s="3"/>
      <c r="T41" s="3"/>
      <c r="U41" s="3"/>
      <c r="V41" s="3"/>
      <c r="W41" s="3"/>
    </row>
    <row r="42" spans="1:23" ht="15.75" thickBot="1" x14ac:dyDescent="0.3">
      <c r="A42" t="b">
        <v>0</v>
      </c>
      <c r="B42" s="86" t="s">
        <v>91</v>
      </c>
      <c r="C42" s="87">
        <v>4</v>
      </c>
      <c r="D42" s="88" t="b">
        <v>0</v>
      </c>
      <c r="E42" s="89" t="s">
        <v>91</v>
      </c>
      <c r="F42" s="94">
        <v>1</v>
      </c>
      <c r="G42" s="91">
        <v>1.5</v>
      </c>
      <c r="H42" s="92">
        <v>2</v>
      </c>
      <c r="I42" s="163" t="s">
        <v>91</v>
      </c>
      <c r="J42" s="163"/>
      <c r="K42" s="93">
        <v>0.5</v>
      </c>
      <c r="L42" s="93">
        <v>0.25</v>
      </c>
      <c r="M42" s="35"/>
      <c r="N42" s="35"/>
      <c r="O42" s="35"/>
      <c r="P42" s="35"/>
      <c r="Q42" s="35"/>
      <c r="R42" s="35"/>
      <c r="S42" s="3"/>
      <c r="T42" s="3"/>
      <c r="U42" s="3"/>
      <c r="V42" s="3"/>
      <c r="W42" s="3"/>
    </row>
    <row r="43" spans="1:23" ht="15.75" thickBot="1" x14ac:dyDescent="0.3">
      <c r="A43" t="b">
        <v>0</v>
      </c>
      <c r="B43" s="95" t="s">
        <v>1</v>
      </c>
      <c r="C43" s="98">
        <v>1</v>
      </c>
      <c r="D43" s="88" t="b">
        <v>0</v>
      </c>
      <c r="E43" s="97" t="s">
        <v>1</v>
      </c>
      <c r="F43" s="94">
        <v>0.5</v>
      </c>
      <c r="G43" s="91">
        <v>0.75</v>
      </c>
      <c r="H43" s="92">
        <v>1</v>
      </c>
      <c r="I43" s="162" t="s">
        <v>1</v>
      </c>
      <c r="J43" s="162"/>
      <c r="K43" s="93">
        <v>1</v>
      </c>
      <c r="L43" s="93">
        <v>0.5</v>
      </c>
      <c r="M43" s="35"/>
      <c r="N43" s="35"/>
      <c r="O43" s="35"/>
      <c r="P43" s="35"/>
      <c r="Q43" s="35"/>
      <c r="R43" s="35"/>
      <c r="S43" s="3"/>
      <c r="T43" s="3"/>
      <c r="U43" s="3"/>
      <c r="V43" s="3"/>
      <c r="W43" s="3"/>
    </row>
    <row r="44" spans="1:23" ht="15.75" thickBot="1" x14ac:dyDescent="0.3">
      <c r="A44" t="b">
        <v>0</v>
      </c>
      <c r="B44" s="95" t="s">
        <v>92</v>
      </c>
      <c r="C44" s="96">
        <v>1</v>
      </c>
      <c r="D44" s="88" t="b">
        <v>0</v>
      </c>
      <c r="E44" s="97" t="s">
        <v>92</v>
      </c>
      <c r="F44" s="94">
        <v>0.5</v>
      </c>
      <c r="G44" s="91">
        <v>0.75</v>
      </c>
      <c r="H44" s="92">
        <v>1</v>
      </c>
      <c r="I44" s="162" t="s">
        <v>92</v>
      </c>
      <c r="J44" s="162"/>
      <c r="K44" s="93">
        <v>1</v>
      </c>
      <c r="L44" s="93">
        <v>0.5</v>
      </c>
      <c r="M44" s="35"/>
      <c r="N44" s="35"/>
      <c r="O44" s="35"/>
      <c r="P44" s="35"/>
      <c r="Q44" s="35"/>
      <c r="R44" s="35"/>
      <c r="S44" s="3"/>
      <c r="T44" s="3"/>
      <c r="U44" s="3"/>
      <c r="V44" s="3"/>
      <c r="W44" s="3"/>
    </row>
    <row r="45" spans="1:23" ht="15.75" thickBot="1" x14ac:dyDescent="0.3">
      <c r="A45" t="b">
        <v>0</v>
      </c>
      <c r="B45" s="95" t="s">
        <v>93</v>
      </c>
      <c r="C45" s="96">
        <v>1</v>
      </c>
      <c r="D45" s="88" t="b">
        <v>0</v>
      </c>
      <c r="E45" s="97" t="s">
        <v>93</v>
      </c>
      <c r="F45" s="94">
        <v>0.5</v>
      </c>
      <c r="G45" s="91">
        <v>0.75</v>
      </c>
      <c r="H45" s="92">
        <v>1</v>
      </c>
      <c r="I45" s="162" t="s">
        <v>93</v>
      </c>
      <c r="J45" s="162"/>
      <c r="K45" s="93">
        <v>1</v>
      </c>
      <c r="L45" s="93">
        <v>0.5</v>
      </c>
      <c r="M45" s="35"/>
      <c r="N45" s="35"/>
      <c r="O45" s="35"/>
      <c r="P45" s="35"/>
      <c r="Q45" s="35"/>
      <c r="R45" s="35"/>
      <c r="S45" s="3"/>
      <c r="T45" s="3"/>
      <c r="U45" s="3"/>
      <c r="V45" s="3"/>
      <c r="W45" s="3"/>
    </row>
    <row r="46" spans="1:23" ht="15.75" thickBot="1" x14ac:dyDescent="0.3">
      <c r="A46" t="b">
        <v>0</v>
      </c>
      <c r="B46" s="95" t="s">
        <v>94</v>
      </c>
      <c r="C46" s="96">
        <v>1</v>
      </c>
      <c r="D46" s="88" t="b">
        <v>0</v>
      </c>
      <c r="E46" s="97" t="s">
        <v>94</v>
      </c>
      <c r="F46" s="94">
        <v>0.5</v>
      </c>
      <c r="G46" s="91">
        <v>0.75</v>
      </c>
      <c r="H46" s="92">
        <v>1</v>
      </c>
      <c r="I46" s="162" t="s">
        <v>94</v>
      </c>
      <c r="J46" s="162"/>
      <c r="K46" s="93">
        <v>1</v>
      </c>
      <c r="L46" s="93">
        <v>0.5</v>
      </c>
      <c r="M46" s="35"/>
      <c r="N46" s="35"/>
      <c r="O46" s="35"/>
      <c r="P46" s="35"/>
      <c r="Q46" s="35"/>
      <c r="R46" s="35"/>
      <c r="S46" s="3"/>
      <c r="T46" s="3"/>
      <c r="U46" s="3"/>
      <c r="V46" s="3"/>
      <c r="W46" s="3"/>
    </row>
    <row r="47" spans="1:23" ht="15.75" thickBot="1" x14ac:dyDescent="0.3">
      <c r="A47" t="b">
        <v>0</v>
      </c>
      <c r="B47" s="95" t="s">
        <v>95</v>
      </c>
      <c r="C47" s="96">
        <v>1</v>
      </c>
      <c r="D47" s="88" t="b">
        <v>0</v>
      </c>
      <c r="E47" s="97" t="s">
        <v>95</v>
      </c>
      <c r="F47" s="94">
        <v>0.5</v>
      </c>
      <c r="G47" s="91">
        <v>0.75</v>
      </c>
      <c r="H47" s="92">
        <v>1</v>
      </c>
      <c r="I47" s="162" t="s">
        <v>95</v>
      </c>
      <c r="J47" s="162"/>
      <c r="K47" s="93">
        <v>1</v>
      </c>
      <c r="L47" s="93">
        <v>0.5</v>
      </c>
      <c r="M47" s="35"/>
      <c r="N47" s="35"/>
      <c r="O47" s="35"/>
      <c r="P47" s="35"/>
      <c r="Q47" s="35"/>
      <c r="R47" s="35"/>
      <c r="S47" s="3"/>
      <c r="T47" s="3"/>
      <c r="U47" s="3"/>
      <c r="V47" s="3"/>
      <c r="W47" s="3"/>
    </row>
    <row r="48" spans="1:23" ht="15.75" thickBot="1" x14ac:dyDescent="0.3">
      <c r="A48" t="b">
        <v>0</v>
      </c>
      <c r="B48" s="86" t="s">
        <v>96</v>
      </c>
      <c r="C48" s="87">
        <v>2</v>
      </c>
      <c r="D48" s="88" t="b">
        <v>0</v>
      </c>
      <c r="E48" s="89" t="s">
        <v>96</v>
      </c>
      <c r="F48" s="94">
        <v>0.5</v>
      </c>
      <c r="G48" s="91">
        <v>0.75</v>
      </c>
      <c r="H48" s="92">
        <v>1</v>
      </c>
      <c r="I48" s="163" t="s">
        <v>96</v>
      </c>
      <c r="J48" s="163"/>
      <c r="K48" s="93">
        <v>0.5</v>
      </c>
      <c r="L48" s="93">
        <v>0.25</v>
      </c>
      <c r="M48" s="35"/>
      <c r="N48" s="35"/>
      <c r="O48" s="35"/>
      <c r="P48" s="35"/>
      <c r="Q48" s="35"/>
      <c r="R48" s="35"/>
      <c r="S48" s="3"/>
      <c r="T48" s="3"/>
      <c r="U48" s="3"/>
      <c r="V48" s="3"/>
      <c r="W48" s="3"/>
    </row>
    <row r="49" spans="1:23" ht="15.75" thickBot="1" x14ac:dyDescent="0.3">
      <c r="A49" t="b">
        <v>0</v>
      </c>
      <c r="B49" s="86" t="s">
        <v>97</v>
      </c>
      <c r="C49" s="87">
        <v>2</v>
      </c>
      <c r="D49" s="88" t="b">
        <v>0</v>
      </c>
      <c r="E49" s="89" t="s">
        <v>97</v>
      </c>
      <c r="F49" s="94">
        <v>0.5</v>
      </c>
      <c r="G49" s="91">
        <v>0.75</v>
      </c>
      <c r="H49" s="92">
        <v>1</v>
      </c>
      <c r="I49" s="163" t="s">
        <v>97</v>
      </c>
      <c r="J49" s="163"/>
      <c r="K49" s="93">
        <v>0.5</v>
      </c>
      <c r="L49" s="93">
        <v>0.25</v>
      </c>
      <c r="M49" s="35"/>
      <c r="N49" s="35"/>
      <c r="O49" s="35"/>
      <c r="P49" s="35"/>
      <c r="Q49" s="35"/>
      <c r="R49" s="35"/>
      <c r="S49" s="3"/>
      <c r="T49" s="3"/>
      <c r="U49" s="3"/>
      <c r="V49" s="3"/>
      <c r="W49" s="3"/>
    </row>
    <row r="50" spans="1:23" ht="15.75" thickBot="1" x14ac:dyDescent="0.3">
      <c r="A50" t="b">
        <v>0</v>
      </c>
      <c r="B50" s="86" t="s">
        <v>98</v>
      </c>
      <c r="C50" s="87">
        <v>1</v>
      </c>
      <c r="D50" s="88" t="b">
        <v>0</v>
      </c>
      <c r="E50" s="89" t="s">
        <v>98</v>
      </c>
      <c r="F50" s="94">
        <v>0.5</v>
      </c>
      <c r="G50" s="91">
        <v>0.75</v>
      </c>
      <c r="H50" s="92">
        <v>1</v>
      </c>
      <c r="I50" s="163" t="s">
        <v>98</v>
      </c>
      <c r="J50" s="163"/>
      <c r="K50" s="93">
        <v>0.5</v>
      </c>
      <c r="L50" s="93">
        <v>0.25</v>
      </c>
      <c r="M50" s="35"/>
      <c r="N50" s="35"/>
      <c r="O50" s="35"/>
      <c r="P50" s="35"/>
      <c r="Q50" s="35"/>
      <c r="R50" s="35"/>
      <c r="S50" s="3"/>
      <c r="T50" s="3"/>
      <c r="U50" s="3"/>
      <c r="V50" s="3"/>
      <c r="W50" s="3"/>
    </row>
    <row r="51" spans="1:23" ht="15.75" thickBot="1" x14ac:dyDescent="0.3">
      <c r="A51" t="b">
        <v>0</v>
      </c>
      <c r="B51" s="86" t="s">
        <v>99</v>
      </c>
      <c r="C51" s="87">
        <v>2</v>
      </c>
      <c r="D51" s="88" t="b">
        <v>0</v>
      </c>
      <c r="E51" s="89" t="s">
        <v>99</v>
      </c>
      <c r="F51" s="94">
        <v>0.5</v>
      </c>
      <c r="G51" s="91">
        <v>0.75</v>
      </c>
      <c r="H51" s="92">
        <v>1</v>
      </c>
      <c r="I51" s="163" t="s">
        <v>99</v>
      </c>
      <c r="J51" s="163"/>
      <c r="K51" s="93">
        <v>0.5</v>
      </c>
      <c r="L51" s="93">
        <v>0.25</v>
      </c>
      <c r="M51" s="35"/>
      <c r="N51" s="35"/>
      <c r="O51" s="35"/>
      <c r="P51" s="35"/>
      <c r="Q51" s="35"/>
      <c r="R51" s="35"/>
      <c r="S51" s="3"/>
      <c r="T51" s="3"/>
      <c r="U51" s="3"/>
      <c r="V51" s="3"/>
      <c r="W51" s="3"/>
    </row>
    <row r="52" spans="1:23" ht="15.75" thickBot="1" x14ac:dyDescent="0.3">
      <c r="A52" t="b">
        <v>0</v>
      </c>
      <c r="B52" s="86" t="s">
        <v>100</v>
      </c>
      <c r="C52" s="87">
        <v>1</v>
      </c>
      <c r="D52" s="88" t="b">
        <v>0</v>
      </c>
      <c r="E52" s="89" t="s">
        <v>100</v>
      </c>
      <c r="F52" s="94">
        <v>0.5</v>
      </c>
      <c r="G52" s="91">
        <v>0.75</v>
      </c>
      <c r="H52" s="92">
        <v>1</v>
      </c>
      <c r="I52" s="163" t="s">
        <v>100</v>
      </c>
      <c r="J52" s="163"/>
      <c r="K52" s="93">
        <v>0.5</v>
      </c>
      <c r="L52" s="93">
        <v>0.25</v>
      </c>
      <c r="M52" s="35"/>
      <c r="N52" s="35"/>
      <c r="O52" s="35"/>
      <c r="P52" s="35"/>
      <c r="Q52" s="35"/>
      <c r="R52" s="35"/>
      <c r="S52" s="3"/>
      <c r="T52" s="3"/>
      <c r="U52" s="3"/>
      <c r="V52" s="3"/>
      <c r="W52" s="3"/>
    </row>
    <row r="53" spans="1:23" ht="15.75" thickBot="1" x14ac:dyDescent="0.3">
      <c r="A53" t="b">
        <v>0</v>
      </c>
      <c r="B53" s="86" t="s">
        <v>101</v>
      </c>
      <c r="C53" s="87">
        <v>2</v>
      </c>
      <c r="D53" s="88" t="b">
        <v>0</v>
      </c>
      <c r="E53" s="89" t="s">
        <v>101</v>
      </c>
      <c r="F53" s="94">
        <v>0.5</v>
      </c>
      <c r="G53" s="91">
        <v>0.75</v>
      </c>
      <c r="H53" s="92">
        <v>1</v>
      </c>
      <c r="I53" s="163" t="s">
        <v>101</v>
      </c>
      <c r="J53" s="163"/>
      <c r="K53" s="93">
        <v>0.5</v>
      </c>
      <c r="L53" s="93">
        <v>0.25</v>
      </c>
      <c r="M53" s="35"/>
      <c r="N53" s="35"/>
      <c r="O53" s="35"/>
      <c r="P53" s="35"/>
      <c r="Q53" s="35"/>
      <c r="R53" s="35"/>
      <c r="S53" s="3"/>
      <c r="T53" s="3"/>
      <c r="U53" s="3"/>
      <c r="V53" s="3"/>
      <c r="W53" s="3"/>
    </row>
    <row r="54" spans="1:23" ht="15.75" thickBot="1" x14ac:dyDescent="0.3">
      <c r="A54" t="b">
        <v>0</v>
      </c>
      <c r="B54" s="86" t="s">
        <v>2</v>
      </c>
      <c r="C54" s="87">
        <v>1</v>
      </c>
      <c r="D54" s="88" t="b">
        <v>0</v>
      </c>
      <c r="E54" s="89" t="s">
        <v>2</v>
      </c>
      <c r="F54" s="94">
        <v>0.5</v>
      </c>
      <c r="G54" s="91">
        <v>1</v>
      </c>
      <c r="H54" s="92">
        <v>1.5</v>
      </c>
      <c r="I54" s="163" t="s">
        <v>2</v>
      </c>
      <c r="J54" s="163"/>
      <c r="K54" s="93">
        <v>1</v>
      </c>
      <c r="L54" s="93">
        <v>0.5</v>
      </c>
      <c r="M54" s="35"/>
      <c r="N54" s="35"/>
      <c r="O54" s="35"/>
      <c r="P54" s="35"/>
      <c r="Q54" s="35"/>
      <c r="R54" s="35"/>
      <c r="S54" s="3"/>
      <c r="T54" s="3"/>
      <c r="U54" s="3"/>
      <c r="V54" s="3"/>
      <c r="W54" s="3"/>
    </row>
    <row r="55" spans="1:23" ht="15.75" thickBot="1" x14ac:dyDescent="0.3">
      <c r="A55" t="b">
        <v>0</v>
      </c>
      <c r="B55" s="86" t="s">
        <v>3</v>
      </c>
      <c r="C55" s="87">
        <v>2</v>
      </c>
      <c r="D55" s="88" t="b">
        <v>0</v>
      </c>
      <c r="E55" s="89" t="s">
        <v>3</v>
      </c>
      <c r="F55" s="94">
        <v>0.5</v>
      </c>
      <c r="G55" s="91">
        <v>1</v>
      </c>
      <c r="H55" s="92">
        <v>1.5</v>
      </c>
      <c r="I55" s="163" t="s">
        <v>3</v>
      </c>
      <c r="J55" s="163"/>
      <c r="K55" s="93">
        <v>1</v>
      </c>
      <c r="L55" s="93">
        <v>0.5</v>
      </c>
      <c r="M55" s="35"/>
      <c r="N55" s="35"/>
      <c r="O55" s="35"/>
      <c r="P55" s="35"/>
      <c r="Q55" s="35"/>
      <c r="R55" s="35"/>
      <c r="S55" s="3"/>
      <c r="T55" s="3"/>
      <c r="U55" s="3"/>
      <c r="V55" s="3"/>
      <c r="W55" s="3"/>
    </row>
    <row r="56" spans="1:23" ht="15.75" thickBot="1" x14ac:dyDescent="0.3">
      <c r="A56" t="b">
        <v>0</v>
      </c>
      <c r="B56" s="86" t="s">
        <v>102</v>
      </c>
      <c r="C56" s="87">
        <v>4</v>
      </c>
      <c r="D56" s="88" t="b">
        <v>0</v>
      </c>
      <c r="E56" s="89" t="s">
        <v>102</v>
      </c>
      <c r="F56" s="94">
        <v>0.5</v>
      </c>
      <c r="G56" s="91">
        <v>1</v>
      </c>
      <c r="H56" s="92">
        <v>1.5</v>
      </c>
      <c r="I56" s="163" t="s">
        <v>102</v>
      </c>
      <c r="J56" s="163"/>
      <c r="K56" s="93">
        <v>1</v>
      </c>
      <c r="L56" s="93">
        <v>0.5</v>
      </c>
      <c r="M56" s="35"/>
      <c r="N56" s="35"/>
      <c r="O56" s="35"/>
      <c r="P56" s="35"/>
      <c r="Q56" s="35"/>
      <c r="R56" s="35"/>
      <c r="S56" s="3"/>
      <c r="T56" s="3"/>
      <c r="U56" s="3"/>
      <c r="V56" s="3"/>
      <c r="W56" s="3"/>
    </row>
    <row r="57" spans="1:23" ht="15.75" thickBot="1" x14ac:dyDescent="0.3">
      <c r="A57" t="b">
        <v>0</v>
      </c>
      <c r="B57" s="86" t="s">
        <v>103</v>
      </c>
      <c r="C57" s="87">
        <v>4</v>
      </c>
      <c r="D57" s="88" t="b">
        <v>0</v>
      </c>
      <c r="E57" s="89" t="s">
        <v>103</v>
      </c>
      <c r="F57" s="94">
        <v>0.5</v>
      </c>
      <c r="G57" s="91">
        <v>1</v>
      </c>
      <c r="H57" s="92">
        <v>1.5</v>
      </c>
      <c r="I57" s="163" t="s">
        <v>103</v>
      </c>
      <c r="J57" s="163"/>
      <c r="K57" s="93">
        <v>1</v>
      </c>
      <c r="L57" s="93">
        <v>0.5</v>
      </c>
      <c r="M57" s="35"/>
      <c r="N57" s="35"/>
      <c r="O57" s="35"/>
      <c r="P57" s="35"/>
      <c r="Q57" s="35"/>
      <c r="R57" s="35"/>
      <c r="S57" s="3"/>
      <c r="T57" s="3"/>
      <c r="U57" s="3"/>
      <c r="V57" s="3"/>
      <c r="W57" s="3"/>
    </row>
    <row r="58" spans="1:23" ht="15.75" thickBot="1" x14ac:dyDescent="0.3">
      <c r="A58" t="b">
        <v>0</v>
      </c>
      <c r="B58" s="86" t="s">
        <v>4</v>
      </c>
      <c r="C58" s="87">
        <v>3</v>
      </c>
      <c r="D58" s="88" t="b">
        <v>0</v>
      </c>
      <c r="E58" s="89" t="s">
        <v>4</v>
      </c>
      <c r="F58" s="94">
        <v>0.5</v>
      </c>
      <c r="G58" s="91">
        <v>1</v>
      </c>
      <c r="H58" s="92">
        <v>1.5</v>
      </c>
      <c r="I58" s="163" t="s">
        <v>4</v>
      </c>
      <c r="J58" s="163"/>
      <c r="K58" s="93">
        <v>0.5</v>
      </c>
      <c r="L58" s="93">
        <v>0.25</v>
      </c>
      <c r="M58" s="35"/>
      <c r="N58" s="35"/>
      <c r="O58" s="35"/>
      <c r="P58" s="35"/>
      <c r="Q58" s="35"/>
      <c r="R58" s="35"/>
      <c r="S58" s="3"/>
      <c r="T58" s="3"/>
      <c r="U58" s="3"/>
      <c r="V58" s="3"/>
      <c r="W58" s="3"/>
    </row>
    <row r="59" spans="1:23" ht="15.75" thickBot="1" x14ac:dyDescent="0.3">
      <c r="A59" t="b">
        <v>0</v>
      </c>
      <c r="B59" s="86" t="s">
        <v>104</v>
      </c>
      <c r="C59" s="87">
        <v>3</v>
      </c>
      <c r="D59" s="88" t="b">
        <v>0</v>
      </c>
      <c r="E59" s="89" t="s">
        <v>104</v>
      </c>
      <c r="F59" s="94">
        <v>1</v>
      </c>
      <c r="G59" s="91">
        <v>1.5</v>
      </c>
      <c r="H59" s="92">
        <v>2</v>
      </c>
      <c r="I59" s="163" t="s">
        <v>104</v>
      </c>
      <c r="J59" s="163"/>
      <c r="K59" s="93">
        <v>0.5</v>
      </c>
      <c r="L59" s="93">
        <v>0.25</v>
      </c>
      <c r="M59" s="35"/>
      <c r="N59" s="35"/>
      <c r="O59" s="35"/>
      <c r="P59" s="35"/>
      <c r="Q59" s="35"/>
      <c r="R59" s="35"/>
      <c r="S59" s="3"/>
      <c r="T59" s="3"/>
      <c r="U59" s="3"/>
      <c r="V59" s="3"/>
      <c r="W59" s="3"/>
    </row>
    <row r="60" spans="1:23" ht="15.75" thickBot="1" x14ac:dyDescent="0.3">
      <c r="A60" t="b">
        <v>0</v>
      </c>
      <c r="B60" s="86" t="s">
        <v>105</v>
      </c>
      <c r="C60" s="87">
        <v>3</v>
      </c>
      <c r="D60" s="88" t="b">
        <v>0</v>
      </c>
      <c r="E60" s="89" t="s">
        <v>105</v>
      </c>
      <c r="F60" s="94">
        <v>1</v>
      </c>
      <c r="G60" s="91">
        <v>1.5</v>
      </c>
      <c r="H60" s="92">
        <v>2</v>
      </c>
      <c r="I60" s="163" t="s">
        <v>105</v>
      </c>
      <c r="J60" s="163"/>
      <c r="K60" s="93">
        <v>0.5</v>
      </c>
      <c r="L60" s="93">
        <v>0.25</v>
      </c>
      <c r="M60" s="35"/>
      <c r="N60" s="35"/>
      <c r="O60" s="35"/>
      <c r="P60" s="35"/>
      <c r="Q60" s="35"/>
      <c r="R60" s="35"/>
      <c r="S60" s="3"/>
      <c r="T60" s="3"/>
      <c r="U60" s="3"/>
      <c r="V60" s="3"/>
      <c r="W60" s="3"/>
    </row>
    <row r="61" spans="1:23" ht="15.75" thickBot="1" x14ac:dyDescent="0.3">
      <c r="A61" t="b">
        <v>0</v>
      </c>
      <c r="B61" s="95" t="s">
        <v>106</v>
      </c>
      <c r="C61" s="96">
        <v>1</v>
      </c>
      <c r="D61" s="88" t="b">
        <v>0</v>
      </c>
      <c r="E61" s="97" t="s">
        <v>106</v>
      </c>
      <c r="F61" s="94">
        <v>1</v>
      </c>
      <c r="G61" s="91">
        <v>1.5</v>
      </c>
      <c r="H61" s="92">
        <v>2</v>
      </c>
      <c r="I61" s="162" t="s">
        <v>106</v>
      </c>
      <c r="J61" s="162"/>
      <c r="K61" s="93">
        <v>0</v>
      </c>
      <c r="L61" s="93">
        <v>0</v>
      </c>
      <c r="M61" s="35"/>
      <c r="N61" s="35"/>
      <c r="O61" s="35"/>
      <c r="P61" s="35"/>
      <c r="Q61" s="35"/>
      <c r="R61" s="35"/>
      <c r="S61" s="3"/>
      <c r="T61" s="3"/>
      <c r="U61" s="3"/>
      <c r="V61" s="3"/>
      <c r="W61" s="3"/>
    </row>
    <row r="62" spans="1:23" ht="15.75" thickBot="1" x14ac:dyDescent="0.3">
      <c r="A62" t="b">
        <v>0</v>
      </c>
      <c r="B62" s="95" t="s">
        <v>7</v>
      </c>
      <c r="C62" s="96">
        <v>2</v>
      </c>
      <c r="D62" s="88" t="b">
        <v>0</v>
      </c>
      <c r="E62" s="97" t="s">
        <v>7</v>
      </c>
      <c r="F62" s="94"/>
      <c r="G62" s="99"/>
      <c r="H62" s="100"/>
      <c r="I62" s="162" t="s">
        <v>7</v>
      </c>
      <c r="J62" s="162"/>
      <c r="K62" s="93">
        <v>0</v>
      </c>
      <c r="L62" s="93">
        <v>0</v>
      </c>
      <c r="M62" s="35"/>
      <c r="N62" s="35"/>
      <c r="O62" s="35"/>
      <c r="P62" s="35"/>
      <c r="Q62" s="35"/>
      <c r="R62" s="35"/>
      <c r="S62" s="3"/>
      <c r="T62" s="3"/>
      <c r="U62" s="3"/>
      <c r="V62" s="3"/>
      <c r="W62" s="3"/>
    </row>
    <row r="63" spans="1:23" ht="15.75" thickBot="1" x14ac:dyDescent="0.3">
      <c r="A63" t="b">
        <v>0</v>
      </c>
      <c r="B63" s="95" t="s">
        <v>6</v>
      </c>
      <c r="C63" s="96">
        <v>2</v>
      </c>
      <c r="D63" s="88" t="b">
        <v>0</v>
      </c>
      <c r="E63" s="97" t="s">
        <v>6</v>
      </c>
      <c r="F63" s="94"/>
      <c r="G63" s="99"/>
      <c r="H63" s="100"/>
      <c r="I63" s="162" t="s">
        <v>6</v>
      </c>
      <c r="J63" s="162"/>
      <c r="K63" s="93">
        <v>0</v>
      </c>
      <c r="L63" s="93">
        <v>0</v>
      </c>
      <c r="M63" s="35"/>
      <c r="N63" s="35"/>
      <c r="O63" s="35"/>
      <c r="P63" s="35"/>
      <c r="Q63" s="35"/>
      <c r="R63" s="35"/>
      <c r="S63" s="3"/>
      <c r="T63" s="3"/>
      <c r="U63" s="3"/>
      <c r="V63" s="3"/>
      <c r="W63" s="3"/>
    </row>
    <row r="64" spans="1:23" ht="15.75" thickBot="1" x14ac:dyDescent="0.3">
      <c r="A64" t="b">
        <v>0</v>
      </c>
      <c r="B64" s="95" t="s">
        <v>107</v>
      </c>
      <c r="C64" s="96">
        <v>2</v>
      </c>
      <c r="D64" s="88" t="b">
        <v>0</v>
      </c>
      <c r="E64" s="97" t="s">
        <v>107</v>
      </c>
      <c r="F64" s="94"/>
      <c r="G64" s="99"/>
      <c r="H64" s="100"/>
      <c r="I64" s="162" t="s">
        <v>107</v>
      </c>
      <c r="J64" s="162"/>
      <c r="K64" s="93">
        <v>0</v>
      </c>
      <c r="L64" s="93">
        <v>0</v>
      </c>
      <c r="M64" s="35"/>
      <c r="N64" s="35"/>
      <c r="O64" s="35"/>
      <c r="P64" s="35"/>
      <c r="Q64" s="35"/>
      <c r="R64" s="35"/>
      <c r="S64" s="3"/>
      <c r="T64" s="3"/>
      <c r="U64" s="3"/>
      <c r="V64" s="3"/>
      <c r="W64" s="3"/>
    </row>
    <row r="65" spans="1:23" ht="15.75" thickBot="1" x14ac:dyDescent="0.3">
      <c r="A65" t="b">
        <v>0</v>
      </c>
      <c r="B65" s="95" t="s">
        <v>108</v>
      </c>
      <c r="C65" s="96">
        <v>2</v>
      </c>
      <c r="D65" s="88" t="b">
        <v>0</v>
      </c>
      <c r="E65" s="97" t="s">
        <v>108</v>
      </c>
      <c r="F65" s="94"/>
      <c r="G65" s="99"/>
      <c r="H65" s="100"/>
      <c r="I65" s="162" t="s">
        <v>108</v>
      </c>
      <c r="J65" s="162"/>
      <c r="K65" s="93">
        <v>0</v>
      </c>
      <c r="L65" s="93">
        <v>0</v>
      </c>
      <c r="M65" s="35"/>
      <c r="N65" s="35"/>
      <c r="O65" s="35"/>
      <c r="P65" s="35"/>
      <c r="Q65" s="35"/>
      <c r="R65" s="35"/>
      <c r="S65" s="3"/>
      <c r="T65" s="3"/>
      <c r="U65" s="3"/>
      <c r="V65" s="3"/>
      <c r="W65" s="3"/>
    </row>
    <row r="66" spans="1:23" x14ac:dyDescent="0.25">
      <c r="A66" t="b">
        <v>0</v>
      </c>
      <c r="B66" s="101">
        <v>0</v>
      </c>
      <c r="C66" s="102">
        <v>0</v>
      </c>
      <c r="D66" s="88" t="b">
        <v>0</v>
      </c>
      <c r="E66" s="101">
        <v>0</v>
      </c>
      <c r="F66" s="35">
        <v>0</v>
      </c>
      <c r="G66" s="35">
        <v>0</v>
      </c>
      <c r="H66" s="35">
        <v>0</v>
      </c>
      <c r="I66" s="162">
        <v>0</v>
      </c>
      <c r="J66" s="162"/>
      <c r="K66" s="81">
        <v>0</v>
      </c>
      <c r="L66" s="81">
        <v>0</v>
      </c>
      <c r="M66" s="35"/>
      <c r="N66" s="35"/>
      <c r="O66" s="35"/>
      <c r="P66" s="35"/>
      <c r="Q66" s="35"/>
      <c r="R66" s="35"/>
      <c r="S66" s="3"/>
      <c r="T66" s="3"/>
      <c r="U66" s="3"/>
      <c r="V66" s="3"/>
      <c r="W66" s="3"/>
    </row>
    <row r="67" spans="1:23" x14ac:dyDescent="0.25">
      <c r="A67" t="b">
        <v>0</v>
      </c>
      <c r="B67" s="103">
        <v>0</v>
      </c>
      <c r="C67" s="102">
        <v>0</v>
      </c>
      <c r="D67" s="3" t="b">
        <v>0</v>
      </c>
      <c r="E67" s="3">
        <v>0</v>
      </c>
      <c r="F67" s="35">
        <v>0</v>
      </c>
      <c r="G67" s="35">
        <v>0</v>
      </c>
      <c r="H67" s="35">
        <v>0</v>
      </c>
      <c r="I67" s="35">
        <v>0</v>
      </c>
      <c r="J67" s="35"/>
      <c r="K67" s="35">
        <v>0</v>
      </c>
      <c r="L67" s="35">
        <v>0</v>
      </c>
      <c r="M67" s="35"/>
      <c r="N67" s="35"/>
      <c r="O67" s="35"/>
      <c r="P67" s="35"/>
      <c r="Q67" s="35"/>
      <c r="R67" s="35"/>
      <c r="S67" s="3"/>
      <c r="T67" s="3"/>
      <c r="U67" s="3"/>
      <c r="V67" s="3"/>
      <c r="W67" s="3"/>
    </row>
    <row r="68" spans="1:23" x14ac:dyDescent="0.25">
      <c r="A68" t="b">
        <v>0</v>
      </c>
      <c r="B68" s="80" t="s">
        <v>141</v>
      </c>
      <c r="C68" s="3"/>
      <c r="D68" s="3" t="b">
        <v>0</v>
      </c>
      <c r="E68" s="80" t="s">
        <v>141</v>
      </c>
      <c r="F68" s="35"/>
      <c r="G68" s="35"/>
      <c r="H68" s="35"/>
      <c r="I68" s="147" t="s">
        <v>141</v>
      </c>
      <c r="J68" s="147"/>
      <c r="K68" s="81"/>
      <c r="L68" s="81"/>
      <c r="M68" s="35"/>
      <c r="N68" s="35"/>
      <c r="O68" s="35"/>
      <c r="P68" s="35"/>
      <c r="Q68" s="35"/>
      <c r="R68" s="35"/>
      <c r="S68" s="3"/>
      <c r="T68" s="3"/>
      <c r="U68" s="3"/>
      <c r="V68" s="3"/>
      <c r="W68" s="3"/>
    </row>
    <row r="69" spans="1:23" x14ac:dyDescent="0.25">
      <c r="A69" s="14" t="b">
        <v>0</v>
      </c>
      <c r="B69" s="104" t="s">
        <v>110</v>
      </c>
      <c r="C69" s="104" t="s">
        <v>73</v>
      </c>
      <c r="D69" s="83" t="b">
        <v>0</v>
      </c>
      <c r="E69" s="104" t="s">
        <v>112</v>
      </c>
      <c r="F69" s="104" t="s">
        <v>113</v>
      </c>
      <c r="G69" s="104" t="s">
        <v>114</v>
      </c>
      <c r="H69" s="105" t="s">
        <v>115</v>
      </c>
      <c r="I69" s="161" t="s">
        <v>117</v>
      </c>
      <c r="J69" s="161"/>
      <c r="K69" s="106" t="s">
        <v>119</v>
      </c>
      <c r="L69" s="106" t="s">
        <v>120</v>
      </c>
      <c r="M69" s="35"/>
      <c r="N69" s="35"/>
      <c r="O69" s="35"/>
      <c r="P69" s="35"/>
      <c r="Q69" s="35"/>
      <c r="R69" s="35"/>
      <c r="S69" s="3"/>
      <c r="T69" s="3"/>
      <c r="U69" s="3"/>
      <c r="V69" s="3"/>
      <c r="W69" s="3"/>
    </row>
    <row r="70" spans="1:23" x14ac:dyDescent="0.25">
      <c r="A70" s="9" t="b">
        <v>0</v>
      </c>
      <c r="B70" s="107" t="s">
        <v>1</v>
      </c>
      <c r="C70" s="108">
        <v>1.5</v>
      </c>
      <c r="D70" s="23" t="b">
        <v>0</v>
      </c>
      <c r="E70" s="107" t="s">
        <v>1</v>
      </c>
      <c r="F70" s="109">
        <v>0.5</v>
      </c>
      <c r="G70" s="109">
        <v>0.75</v>
      </c>
      <c r="H70" s="109">
        <v>1</v>
      </c>
      <c r="I70" s="156" t="s">
        <v>1</v>
      </c>
      <c r="J70" s="156"/>
      <c r="K70" s="109">
        <v>1</v>
      </c>
      <c r="L70" s="109">
        <v>0.5</v>
      </c>
      <c r="M70" s="35"/>
      <c r="N70" s="35"/>
      <c r="O70" s="35"/>
      <c r="P70" s="35"/>
      <c r="Q70" s="35"/>
      <c r="R70" s="35"/>
      <c r="S70" s="3"/>
      <c r="T70" s="3"/>
      <c r="U70" s="3"/>
      <c r="V70" s="3"/>
      <c r="W70" s="3"/>
    </row>
    <row r="71" spans="1:23" x14ac:dyDescent="0.25">
      <c r="A71" s="9" t="b">
        <v>0</v>
      </c>
      <c r="B71" s="107" t="s">
        <v>84</v>
      </c>
      <c r="C71" s="108">
        <v>0.5</v>
      </c>
      <c r="D71" s="23" t="b">
        <v>0</v>
      </c>
      <c r="E71" s="107" t="s">
        <v>84</v>
      </c>
      <c r="F71" s="109">
        <v>0.55000000000000004</v>
      </c>
      <c r="G71" s="109">
        <v>0.65</v>
      </c>
      <c r="H71" s="109">
        <v>0.75</v>
      </c>
      <c r="I71" s="156" t="s">
        <v>84</v>
      </c>
      <c r="J71" s="156"/>
      <c r="K71" s="109">
        <v>0.5</v>
      </c>
      <c r="L71" s="109">
        <v>0.25</v>
      </c>
      <c r="M71" s="35"/>
      <c r="N71" s="35"/>
      <c r="O71" s="35"/>
      <c r="P71" s="35"/>
      <c r="Q71" s="35"/>
      <c r="R71" s="35"/>
      <c r="S71" s="3"/>
      <c r="T71" s="3"/>
      <c r="U71" s="3"/>
      <c r="V71" s="3"/>
      <c r="W71" s="3"/>
    </row>
    <row r="72" spans="1:23" x14ac:dyDescent="0.25">
      <c r="A72" s="9" t="b">
        <v>0</v>
      </c>
      <c r="B72" s="107" t="s">
        <v>123</v>
      </c>
      <c r="C72" s="109">
        <v>0.1</v>
      </c>
      <c r="D72" s="23" t="b">
        <v>0</v>
      </c>
      <c r="E72" s="107" t="s">
        <v>123</v>
      </c>
      <c r="F72" s="109">
        <v>0.1</v>
      </c>
      <c r="G72" s="109">
        <v>0.1</v>
      </c>
      <c r="H72" s="109">
        <v>0.1</v>
      </c>
      <c r="I72" s="156" t="s">
        <v>123</v>
      </c>
      <c r="J72" s="156"/>
      <c r="K72" s="109">
        <v>0.1</v>
      </c>
      <c r="L72" s="109">
        <v>0.1</v>
      </c>
      <c r="M72" s="35"/>
      <c r="N72" s="35"/>
      <c r="O72" s="35"/>
      <c r="P72" s="35"/>
      <c r="Q72" s="35"/>
      <c r="R72" s="35"/>
      <c r="S72" s="3"/>
      <c r="T72" s="3"/>
      <c r="U72" s="3"/>
      <c r="V72" s="3"/>
      <c r="W72" s="3"/>
    </row>
    <row r="73" spans="1:23" x14ac:dyDescent="0.25">
      <c r="A73" s="9" t="b">
        <v>0</v>
      </c>
      <c r="B73" s="107" t="s">
        <v>124</v>
      </c>
      <c r="C73" s="109">
        <v>0.1</v>
      </c>
      <c r="D73" s="23" t="b">
        <v>0</v>
      </c>
      <c r="E73" s="107" t="s">
        <v>124</v>
      </c>
      <c r="F73" s="109">
        <v>0.1</v>
      </c>
      <c r="G73" s="109">
        <v>0.1</v>
      </c>
      <c r="H73" s="109">
        <v>0.1</v>
      </c>
      <c r="I73" s="157" t="s">
        <v>124</v>
      </c>
      <c r="J73" s="158"/>
      <c r="K73" s="109">
        <v>0.1</v>
      </c>
      <c r="L73" s="109">
        <v>0.1</v>
      </c>
      <c r="M73" s="35"/>
      <c r="N73" s="35"/>
      <c r="O73" s="35"/>
      <c r="P73" s="35"/>
      <c r="Q73" s="35"/>
      <c r="R73" s="35"/>
      <c r="S73" s="3"/>
      <c r="T73" s="3"/>
      <c r="U73" s="3"/>
      <c r="V73" s="3"/>
      <c r="W73" s="3"/>
    </row>
    <row r="74" spans="1:23" x14ac:dyDescent="0.25">
      <c r="A74" s="9" t="b">
        <v>0</v>
      </c>
      <c r="B74" s="107" t="s">
        <v>125</v>
      </c>
      <c r="C74" s="109">
        <v>0.1</v>
      </c>
      <c r="D74" s="23" t="b">
        <v>0</v>
      </c>
      <c r="E74" s="107" t="s">
        <v>125</v>
      </c>
      <c r="F74" s="109">
        <v>0.1</v>
      </c>
      <c r="G74" s="109">
        <v>0.1</v>
      </c>
      <c r="H74" s="109">
        <v>0.1</v>
      </c>
      <c r="I74" s="157" t="s">
        <v>125</v>
      </c>
      <c r="J74" s="158"/>
      <c r="K74" s="109">
        <v>0.1</v>
      </c>
      <c r="L74" s="109">
        <v>0.1</v>
      </c>
      <c r="M74" s="35"/>
      <c r="N74" s="35"/>
      <c r="O74" s="35"/>
      <c r="P74" s="35"/>
      <c r="Q74" s="35"/>
      <c r="R74" s="35"/>
      <c r="S74" s="3"/>
      <c r="T74" s="3"/>
      <c r="U74" s="3"/>
      <c r="V74" s="3"/>
      <c r="W74" s="3"/>
    </row>
    <row r="75" spans="1:23" x14ac:dyDescent="0.25">
      <c r="A75" s="9" t="b">
        <v>0</v>
      </c>
      <c r="B75" s="107" t="s">
        <v>126</v>
      </c>
      <c r="C75" s="109">
        <v>0.1</v>
      </c>
      <c r="D75" s="23" t="b">
        <v>0</v>
      </c>
      <c r="E75" s="107" t="s">
        <v>126</v>
      </c>
      <c r="F75" s="109">
        <v>0.1</v>
      </c>
      <c r="G75" s="109">
        <v>0.1</v>
      </c>
      <c r="H75" s="109">
        <v>0.1</v>
      </c>
      <c r="I75" s="157" t="s">
        <v>126</v>
      </c>
      <c r="J75" s="158"/>
      <c r="K75" s="109">
        <v>0.1</v>
      </c>
      <c r="L75" s="109">
        <v>0.1</v>
      </c>
      <c r="M75" s="35"/>
      <c r="N75" s="35"/>
      <c r="O75" s="35"/>
      <c r="P75" s="35"/>
      <c r="Q75" s="35"/>
      <c r="R75" s="35"/>
      <c r="S75" s="3"/>
      <c r="T75" s="3"/>
      <c r="U75" s="3"/>
      <c r="V75" s="3"/>
      <c r="W75" s="3"/>
    </row>
    <row r="76" spans="1:23" x14ac:dyDescent="0.25">
      <c r="A76" s="9" t="b">
        <v>0</v>
      </c>
      <c r="B76" s="107" t="s">
        <v>127</v>
      </c>
      <c r="C76" s="109">
        <v>0.1</v>
      </c>
      <c r="D76" s="23" t="b">
        <v>0</v>
      </c>
      <c r="E76" s="107" t="s">
        <v>127</v>
      </c>
      <c r="F76" s="109">
        <v>0.1</v>
      </c>
      <c r="G76" s="109">
        <v>0.1</v>
      </c>
      <c r="H76" s="109">
        <v>0.1</v>
      </c>
      <c r="I76" s="157" t="s">
        <v>127</v>
      </c>
      <c r="J76" s="158"/>
      <c r="K76" s="109">
        <v>0.1</v>
      </c>
      <c r="L76" s="109">
        <v>0.1</v>
      </c>
      <c r="M76" s="35"/>
      <c r="N76" s="35"/>
      <c r="O76" s="35"/>
      <c r="P76" s="35"/>
      <c r="Q76" s="35"/>
      <c r="R76" s="35"/>
      <c r="S76" s="3"/>
      <c r="T76" s="3"/>
      <c r="U76" s="3"/>
      <c r="V76" s="3"/>
      <c r="W76" s="3"/>
    </row>
    <row r="77" spans="1:23" x14ac:dyDescent="0.25">
      <c r="A77" s="9" t="b">
        <v>0</v>
      </c>
      <c r="B77" s="107" t="s">
        <v>128</v>
      </c>
      <c r="C77" s="109">
        <v>0.1</v>
      </c>
      <c r="D77" s="23" t="b">
        <v>0</v>
      </c>
      <c r="E77" s="107" t="s">
        <v>128</v>
      </c>
      <c r="F77" s="109">
        <v>0.1</v>
      </c>
      <c r="G77" s="109">
        <v>0.1</v>
      </c>
      <c r="H77" s="109">
        <v>0.1</v>
      </c>
      <c r="I77" s="157" t="s">
        <v>128</v>
      </c>
      <c r="J77" s="158"/>
      <c r="K77" s="109">
        <v>0.1</v>
      </c>
      <c r="L77" s="109">
        <v>0.1</v>
      </c>
      <c r="M77" s="35"/>
      <c r="N77" s="35"/>
      <c r="O77" s="35"/>
      <c r="P77" s="35"/>
      <c r="Q77" s="35"/>
      <c r="R77" s="35"/>
      <c r="S77" s="3"/>
      <c r="T77" s="3"/>
      <c r="U77" s="3"/>
      <c r="V77" s="3"/>
      <c r="W77" s="3"/>
    </row>
    <row r="78" spans="1:23" x14ac:dyDescent="0.25">
      <c r="A78" s="9" t="b">
        <v>0</v>
      </c>
      <c r="B78" s="107" t="s">
        <v>129</v>
      </c>
      <c r="C78" s="109">
        <v>0.1</v>
      </c>
      <c r="D78" s="23" t="b">
        <v>0</v>
      </c>
      <c r="E78" s="107" t="s">
        <v>129</v>
      </c>
      <c r="F78" s="109">
        <v>0.1</v>
      </c>
      <c r="G78" s="109">
        <v>0.1</v>
      </c>
      <c r="H78" s="109">
        <v>0.1</v>
      </c>
      <c r="I78" s="157" t="s">
        <v>129</v>
      </c>
      <c r="J78" s="158"/>
      <c r="K78" s="109">
        <v>0.1</v>
      </c>
      <c r="L78" s="109">
        <v>0.1</v>
      </c>
      <c r="M78" s="35"/>
      <c r="N78" s="35"/>
      <c r="O78" s="35"/>
      <c r="P78" s="35"/>
      <c r="Q78" s="35"/>
      <c r="R78" s="35"/>
      <c r="S78" s="3"/>
      <c r="T78" s="3"/>
      <c r="U78" s="3"/>
      <c r="V78" s="3"/>
      <c r="W78" s="3"/>
    </row>
    <row r="79" spans="1:23" x14ac:dyDescent="0.25">
      <c r="A79" s="9" t="b">
        <v>0</v>
      </c>
      <c r="B79" s="107" t="s">
        <v>130</v>
      </c>
      <c r="C79" s="109">
        <v>0.1</v>
      </c>
      <c r="D79" s="23" t="b">
        <v>0</v>
      </c>
      <c r="E79" s="107" t="s">
        <v>130</v>
      </c>
      <c r="F79" s="109">
        <v>0.1</v>
      </c>
      <c r="G79" s="109">
        <v>0.1</v>
      </c>
      <c r="H79" s="109">
        <v>0.1</v>
      </c>
      <c r="I79" s="157" t="s">
        <v>130</v>
      </c>
      <c r="J79" s="158"/>
      <c r="K79" s="109">
        <v>0.1</v>
      </c>
      <c r="L79" s="109">
        <v>0.1</v>
      </c>
      <c r="M79" s="35"/>
      <c r="N79" s="35"/>
      <c r="O79" s="35"/>
      <c r="P79" s="35"/>
      <c r="Q79" s="35"/>
      <c r="R79" s="35"/>
      <c r="S79" s="3"/>
      <c r="T79" s="3"/>
      <c r="U79" s="3"/>
      <c r="V79" s="3"/>
      <c r="W79" s="3"/>
    </row>
    <row r="80" spans="1:23" x14ac:dyDescent="0.25">
      <c r="A80" s="9"/>
      <c r="B80" s="107" t="s">
        <v>131</v>
      </c>
      <c r="C80" s="108">
        <v>6</v>
      </c>
      <c r="D80" s="23"/>
      <c r="E80" s="107" t="s">
        <v>131</v>
      </c>
      <c r="F80" s="109">
        <v>1</v>
      </c>
      <c r="G80" s="109">
        <v>2</v>
      </c>
      <c r="H80" s="109">
        <v>3</v>
      </c>
      <c r="I80" s="156" t="s">
        <v>131</v>
      </c>
      <c r="J80" s="156"/>
      <c r="K80" s="109">
        <v>0</v>
      </c>
      <c r="L80" s="109">
        <v>0</v>
      </c>
      <c r="M80" s="35"/>
      <c r="N80" s="35"/>
      <c r="O80" s="35"/>
      <c r="P80" s="35"/>
      <c r="Q80" s="35"/>
      <c r="R80" s="35"/>
      <c r="S80" s="3"/>
      <c r="T80" s="3"/>
      <c r="U80" s="3"/>
      <c r="V80" s="3"/>
      <c r="W80" s="3"/>
    </row>
    <row r="81" spans="1:23" x14ac:dyDescent="0.25">
      <c r="A81" s="9"/>
      <c r="B81" s="107" t="s">
        <v>91</v>
      </c>
      <c r="C81" s="108">
        <v>1</v>
      </c>
      <c r="D81" s="23"/>
      <c r="E81" s="107" t="s">
        <v>91</v>
      </c>
      <c r="F81" s="109">
        <v>0.5</v>
      </c>
      <c r="G81" s="109">
        <v>0.75</v>
      </c>
      <c r="H81" s="109">
        <v>1</v>
      </c>
      <c r="I81" s="156" t="s">
        <v>91</v>
      </c>
      <c r="J81" s="156"/>
      <c r="K81" s="109">
        <v>1</v>
      </c>
      <c r="L81" s="109">
        <v>0.5</v>
      </c>
      <c r="M81" s="35"/>
      <c r="N81" s="35"/>
      <c r="O81" s="35"/>
      <c r="P81" s="35"/>
      <c r="Q81" s="35"/>
      <c r="R81" s="35"/>
      <c r="S81" s="3"/>
      <c r="T81" s="3"/>
      <c r="U81" s="3"/>
      <c r="V81" s="3"/>
      <c r="W81" s="3"/>
    </row>
    <row r="82" spans="1:23" x14ac:dyDescent="0.25">
      <c r="A82" s="9"/>
      <c r="B82" s="107" t="s">
        <v>132</v>
      </c>
      <c r="C82" s="108">
        <v>1</v>
      </c>
      <c r="D82" s="23"/>
      <c r="E82" s="107" t="s">
        <v>132</v>
      </c>
      <c r="F82" s="109">
        <v>0.5</v>
      </c>
      <c r="G82" s="109">
        <v>0.75</v>
      </c>
      <c r="H82" s="109">
        <v>1</v>
      </c>
      <c r="I82" s="156" t="s">
        <v>132</v>
      </c>
      <c r="J82" s="156"/>
      <c r="K82" s="109">
        <v>3</v>
      </c>
      <c r="L82" s="109">
        <v>1.5</v>
      </c>
      <c r="M82" s="35"/>
      <c r="N82" s="35"/>
      <c r="O82" s="35"/>
      <c r="P82" s="35"/>
      <c r="Q82" s="35"/>
      <c r="R82" s="35"/>
      <c r="S82" s="3"/>
      <c r="T82" s="3"/>
      <c r="U82" s="3"/>
      <c r="V82" s="3"/>
      <c r="W82" s="3"/>
    </row>
    <row r="83" spans="1:23" x14ac:dyDescent="0.25">
      <c r="A83" s="9"/>
      <c r="B83" s="107" t="s">
        <v>133</v>
      </c>
      <c r="C83" s="108">
        <v>1</v>
      </c>
      <c r="D83" s="23"/>
      <c r="E83" s="107" t="s">
        <v>133</v>
      </c>
      <c r="F83" s="109">
        <v>0.5</v>
      </c>
      <c r="G83" s="109">
        <v>0.75</v>
      </c>
      <c r="H83" s="109">
        <v>1</v>
      </c>
      <c r="I83" s="156" t="s">
        <v>133</v>
      </c>
      <c r="J83" s="156"/>
      <c r="K83" s="109">
        <v>3</v>
      </c>
      <c r="L83" s="109">
        <v>1.5</v>
      </c>
      <c r="M83" s="35"/>
      <c r="N83" s="35"/>
      <c r="O83" s="35"/>
      <c r="P83" s="35"/>
      <c r="Q83" s="35"/>
      <c r="R83" s="35"/>
      <c r="S83" s="3"/>
      <c r="T83" s="3"/>
      <c r="U83" s="3"/>
      <c r="V83" s="3"/>
      <c r="W83" s="3"/>
    </row>
    <row r="84" spans="1:23" x14ac:dyDescent="0.25">
      <c r="A84" s="9"/>
      <c r="B84" s="107" t="s">
        <v>134</v>
      </c>
      <c r="C84" s="108">
        <v>0.5</v>
      </c>
      <c r="D84" s="23"/>
      <c r="E84" s="107" t="s">
        <v>134</v>
      </c>
      <c r="F84" s="109">
        <v>0.25</v>
      </c>
      <c r="G84" s="109">
        <v>0.5</v>
      </c>
      <c r="H84" s="109">
        <v>0.75</v>
      </c>
      <c r="I84" s="156" t="s">
        <v>134</v>
      </c>
      <c r="J84" s="156"/>
      <c r="K84" s="109">
        <v>1</v>
      </c>
      <c r="L84" s="109">
        <v>0.5</v>
      </c>
      <c r="M84" s="35"/>
      <c r="N84" s="35"/>
      <c r="O84" s="35"/>
      <c r="P84" s="35"/>
      <c r="Q84" s="35"/>
      <c r="R84" s="35"/>
      <c r="S84" s="3"/>
      <c r="T84" s="3"/>
      <c r="U84" s="3"/>
      <c r="V84" s="3"/>
      <c r="W84" s="3"/>
    </row>
    <row r="85" spans="1:23" x14ac:dyDescent="0.25">
      <c r="A85" s="9"/>
      <c r="B85" s="107" t="s">
        <v>135</v>
      </c>
      <c r="C85" s="108">
        <v>0.5</v>
      </c>
      <c r="D85" s="23"/>
      <c r="E85" s="107" t="s">
        <v>135</v>
      </c>
      <c r="F85" s="109">
        <v>0.25</v>
      </c>
      <c r="G85" s="109">
        <v>0.5</v>
      </c>
      <c r="H85" s="109">
        <v>0.75</v>
      </c>
      <c r="I85" s="156" t="s">
        <v>135</v>
      </c>
      <c r="J85" s="156"/>
      <c r="K85" s="109">
        <v>1</v>
      </c>
      <c r="L85" s="109">
        <v>0.5</v>
      </c>
      <c r="M85" s="35"/>
      <c r="N85" s="35"/>
      <c r="O85" s="35"/>
      <c r="P85" s="35"/>
      <c r="Q85" s="35"/>
      <c r="R85" s="35"/>
      <c r="S85" s="3"/>
      <c r="T85" s="3"/>
      <c r="U85" s="3"/>
      <c r="V85" s="3"/>
      <c r="W85" s="3"/>
    </row>
    <row r="86" spans="1:23" x14ac:dyDescent="0.25">
      <c r="A86" s="9"/>
      <c r="B86" s="107" t="s">
        <v>222</v>
      </c>
      <c r="C86" s="108">
        <v>0.5</v>
      </c>
      <c r="D86" s="23"/>
      <c r="E86" s="107" t="s">
        <v>222</v>
      </c>
      <c r="F86" s="109">
        <v>0.25</v>
      </c>
      <c r="G86" s="109">
        <v>0.5</v>
      </c>
      <c r="H86" s="109">
        <v>0.75</v>
      </c>
      <c r="I86" s="159" t="s">
        <v>222</v>
      </c>
      <c r="J86" s="160"/>
      <c r="K86" s="109">
        <v>1</v>
      </c>
      <c r="L86" s="109">
        <v>0.5</v>
      </c>
      <c r="M86" s="35"/>
      <c r="N86" s="35"/>
      <c r="O86" s="35"/>
      <c r="P86" s="35"/>
      <c r="Q86" s="35"/>
      <c r="R86" s="35"/>
      <c r="S86" s="3"/>
      <c r="T86" s="3"/>
      <c r="U86" s="3"/>
      <c r="V86" s="3"/>
      <c r="W86" s="3"/>
    </row>
    <row r="87" spans="1:23" x14ac:dyDescent="0.25">
      <c r="A87" s="9"/>
      <c r="B87" s="107" t="s">
        <v>223</v>
      </c>
      <c r="C87" s="108">
        <v>0.5</v>
      </c>
      <c r="D87" s="23"/>
      <c r="E87" s="107" t="s">
        <v>223</v>
      </c>
      <c r="F87" s="109">
        <v>0.25</v>
      </c>
      <c r="G87" s="109">
        <v>0.5</v>
      </c>
      <c r="H87" s="109">
        <v>0.75</v>
      </c>
      <c r="I87" s="159" t="s">
        <v>223</v>
      </c>
      <c r="J87" s="160"/>
      <c r="K87" s="109">
        <v>1</v>
      </c>
      <c r="L87" s="109">
        <v>0.5</v>
      </c>
      <c r="M87" s="35"/>
      <c r="N87" s="35"/>
      <c r="O87" s="35"/>
      <c r="P87" s="35"/>
      <c r="Q87" s="35"/>
      <c r="R87" s="35"/>
      <c r="S87" s="3"/>
      <c r="T87" s="3"/>
      <c r="U87" s="3"/>
      <c r="V87" s="3"/>
      <c r="W87" s="3"/>
    </row>
    <row r="88" spans="1:23" x14ac:dyDescent="0.25">
      <c r="A88" s="9"/>
      <c r="B88" s="107" t="s">
        <v>224</v>
      </c>
      <c r="C88" s="108">
        <v>0.25</v>
      </c>
      <c r="D88" s="23"/>
      <c r="E88" s="107" t="s">
        <v>224</v>
      </c>
      <c r="F88" s="109">
        <v>0.25</v>
      </c>
      <c r="G88" s="109">
        <v>0.5</v>
      </c>
      <c r="H88" s="109">
        <v>0.75</v>
      </c>
      <c r="I88" s="159" t="s">
        <v>224</v>
      </c>
      <c r="J88" s="160"/>
      <c r="K88" s="109">
        <v>0.5</v>
      </c>
      <c r="L88" s="109">
        <v>0.5</v>
      </c>
      <c r="M88" s="35"/>
      <c r="N88" s="35"/>
      <c r="O88" s="35"/>
      <c r="P88" s="35"/>
      <c r="Q88" s="35"/>
      <c r="R88" s="35"/>
      <c r="S88" s="3"/>
      <c r="T88" s="3"/>
      <c r="U88" s="3"/>
      <c r="V88" s="3"/>
      <c r="W88" s="3"/>
    </row>
    <row r="89" spans="1:23" x14ac:dyDescent="0.25">
      <c r="A89" s="9"/>
      <c r="B89" s="107" t="s">
        <v>225</v>
      </c>
      <c r="C89" s="108">
        <v>0.25</v>
      </c>
      <c r="D89" s="23"/>
      <c r="E89" s="107" t="s">
        <v>225</v>
      </c>
      <c r="F89" s="109">
        <v>0.25</v>
      </c>
      <c r="G89" s="109">
        <v>0.5</v>
      </c>
      <c r="H89" s="109">
        <v>0.75</v>
      </c>
      <c r="I89" s="159" t="s">
        <v>225</v>
      </c>
      <c r="J89" s="160"/>
      <c r="K89" s="109">
        <v>0.5</v>
      </c>
      <c r="L89" s="109">
        <v>0.5</v>
      </c>
      <c r="M89" s="35"/>
      <c r="N89" s="35"/>
      <c r="O89" s="35"/>
      <c r="P89" s="35"/>
      <c r="Q89" s="35"/>
      <c r="R89" s="35"/>
      <c r="S89" s="3"/>
      <c r="T89" s="3"/>
      <c r="U89" s="3"/>
      <c r="V89" s="3"/>
      <c r="W89" s="3"/>
    </row>
    <row r="90" spans="1:23" x14ac:dyDescent="0.25">
      <c r="A90" s="9"/>
      <c r="B90" s="107" t="s">
        <v>226</v>
      </c>
      <c r="C90" s="108">
        <v>0.5</v>
      </c>
      <c r="D90" s="23"/>
      <c r="E90" s="107" t="s">
        <v>226</v>
      </c>
      <c r="F90" s="109">
        <v>0.25</v>
      </c>
      <c r="G90" s="109">
        <v>0.5</v>
      </c>
      <c r="H90" s="109">
        <v>0.75</v>
      </c>
      <c r="I90" s="159" t="s">
        <v>226</v>
      </c>
      <c r="J90" s="160"/>
      <c r="K90" s="109">
        <v>1</v>
      </c>
      <c r="L90" s="109">
        <v>0.5</v>
      </c>
      <c r="M90" s="35"/>
      <c r="N90" s="35"/>
      <c r="O90" s="35"/>
      <c r="P90" s="35"/>
      <c r="Q90" s="35"/>
      <c r="R90" s="35"/>
      <c r="S90" s="3"/>
      <c r="T90" s="3"/>
      <c r="U90" s="3"/>
      <c r="V90" s="3"/>
      <c r="W90" s="3"/>
    </row>
    <row r="91" spans="1:23" x14ac:dyDescent="0.25">
      <c r="A91" s="9"/>
      <c r="B91" s="107" t="s">
        <v>227</v>
      </c>
      <c r="C91" s="108">
        <v>0.5</v>
      </c>
      <c r="D91" s="23"/>
      <c r="E91" s="107" t="s">
        <v>227</v>
      </c>
      <c r="F91" s="109">
        <v>0.25</v>
      </c>
      <c r="G91" s="109">
        <v>0.5</v>
      </c>
      <c r="H91" s="109">
        <v>0.75</v>
      </c>
      <c r="I91" s="159" t="s">
        <v>227</v>
      </c>
      <c r="J91" s="160"/>
      <c r="K91" s="109">
        <v>1</v>
      </c>
      <c r="L91" s="109">
        <v>0.5</v>
      </c>
      <c r="M91" s="35"/>
      <c r="N91" s="35"/>
      <c r="O91" s="35"/>
      <c r="P91" s="35"/>
      <c r="Q91" s="35"/>
      <c r="R91" s="35"/>
      <c r="S91" s="3"/>
      <c r="T91" s="3"/>
      <c r="U91" s="3"/>
      <c r="V91" s="3"/>
      <c r="W91" s="3"/>
    </row>
    <row r="92" spans="1:23" x14ac:dyDescent="0.25">
      <c r="A92" s="9"/>
      <c r="B92" s="107" t="s">
        <v>228</v>
      </c>
      <c r="C92" s="108">
        <v>0.5</v>
      </c>
      <c r="D92" s="23"/>
      <c r="E92" s="107" t="s">
        <v>228</v>
      </c>
      <c r="F92" s="109">
        <v>0.25</v>
      </c>
      <c r="G92" s="109">
        <v>0.5</v>
      </c>
      <c r="H92" s="109">
        <v>0.75</v>
      </c>
      <c r="I92" s="159" t="s">
        <v>228</v>
      </c>
      <c r="J92" s="160"/>
      <c r="K92" s="109">
        <v>1</v>
      </c>
      <c r="L92" s="109">
        <v>0.5</v>
      </c>
      <c r="M92" s="35"/>
      <c r="N92" s="35"/>
      <c r="O92" s="35"/>
      <c r="P92" s="35"/>
      <c r="Q92" s="35"/>
      <c r="R92" s="35"/>
      <c r="S92" s="3"/>
      <c r="T92" s="3"/>
      <c r="U92" s="3"/>
      <c r="V92" s="3"/>
      <c r="W92" s="3"/>
    </row>
    <row r="93" spans="1:23" x14ac:dyDescent="0.25">
      <c r="A93" s="9"/>
      <c r="B93" s="107" t="s">
        <v>3</v>
      </c>
      <c r="C93" s="108">
        <v>0.75</v>
      </c>
      <c r="D93" s="23"/>
      <c r="E93" s="107" t="s">
        <v>3</v>
      </c>
      <c r="F93" s="109">
        <v>0.5</v>
      </c>
      <c r="G93" s="109">
        <v>0.75</v>
      </c>
      <c r="H93" s="109">
        <v>1</v>
      </c>
      <c r="I93" s="159" t="s">
        <v>3</v>
      </c>
      <c r="J93" s="160"/>
      <c r="K93" s="109">
        <v>1</v>
      </c>
      <c r="L93" s="109">
        <v>0.5</v>
      </c>
      <c r="M93" s="35"/>
      <c r="N93" s="35"/>
      <c r="O93" s="35"/>
      <c r="P93" s="35"/>
      <c r="Q93" s="35"/>
      <c r="R93" s="35"/>
      <c r="S93" s="3"/>
      <c r="T93" s="3"/>
      <c r="U93" s="3"/>
      <c r="V93" s="3"/>
      <c r="W93" s="3"/>
    </row>
    <row r="94" spans="1:23" x14ac:dyDescent="0.25">
      <c r="A94" s="9"/>
      <c r="B94" s="107" t="s">
        <v>229</v>
      </c>
      <c r="C94" s="108">
        <v>0.75</v>
      </c>
      <c r="D94" s="23"/>
      <c r="E94" s="107" t="s">
        <v>229</v>
      </c>
      <c r="F94" s="109">
        <v>0.25</v>
      </c>
      <c r="G94" s="109">
        <v>0.5</v>
      </c>
      <c r="H94" s="109">
        <v>0.75</v>
      </c>
      <c r="I94" s="159" t="s">
        <v>229</v>
      </c>
      <c r="J94" s="160"/>
      <c r="K94" s="109">
        <v>1</v>
      </c>
      <c r="L94" s="109">
        <v>0.5</v>
      </c>
      <c r="M94" s="35"/>
      <c r="N94" s="35"/>
      <c r="O94" s="35"/>
      <c r="P94" s="35"/>
      <c r="Q94" s="35"/>
      <c r="R94" s="35"/>
      <c r="S94" s="3"/>
      <c r="T94" s="3"/>
      <c r="U94" s="3"/>
      <c r="V94" s="3"/>
      <c r="W94" s="3"/>
    </row>
    <row r="95" spans="1:23" x14ac:dyDescent="0.25">
      <c r="A95" s="9"/>
      <c r="B95" s="107" t="s">
        <v>230</v>
      </c>
      <c r="C95" s="108">
        <v>0.75</v>
      </c>
      <c r="D95" s="23"/>
      <c r="E95" s="107" t="s">
        <v>230</v>
      </c>
      <c r="F95" s="109">
        <v>0.25</v>
      </c>
      <c r="G95" s="109">
        <v>0.5</v>
      </c>
      <c r="H95" s="109">
        <v>0.75</v>
      </c>
      <c r="I95" s="159" t="s">
        <v>230</v>
      </c>
      <c r="J95" s="160"/>
      <c r="K95" s="109">
        <v>1</v>
      </c>
      <c r="L95" s="109">
        <v>0.5</v>
      </c>
      <c r="M95" s="35"/>
      <c r="N95" s="35"/>
      <c r="O95" s="35"/>
      <c r="P95" s="35"/>
      <c r="Q95" s="35"/>
      <c r="R95" s="35"/>
      <c r="S95" s="3"/>
      <c r="T95" s="3"/>
      <c r="U95" s="3"/>
      <c r="V95" s="3"/>
      <c r="W95" s="3"/>
    </row>
    <row r="96" spans="1:23" x14ac:dyDescent="0.25">
      <c r="A96" s="9"/>
      <c r="B96" s="107" t="s">
        <v>231</v>
      </c>
      <c r="C96" s="108">
        <v>0.75</v>
      </c>
      <c r="D96" s="23"/>
      <c r="E96" s="107" t="s">
        <v>231</v>
      </c>
      <c r="F96" s="109">
        <v>0.25</v>
      </c>
      <c r="G96" s="109">
        <v>0.5</v>
      </c>
      <c r="H96" s="109">
        <v>0.75</v>
      </c>
      <c r="I96" s="159" t="s">
        <v>231</v>
      </c>
      <c r="J96" s="160"/>
      <c r="K96" s="109">
        <v>1</v>
      </c>
      <c r="L96" s="109">
        <v>0.5</v>
      </c>
      <c r="M96" s="35"/>
      <c r="N96" s="35"/>
      <c r="O96" s="35"/>
      <c r="P96" s="35"/>
      <c r="Q96" s="35"/>
      <c r="R96" s="35"/>
      <c r="S96" s="3"/>
      <c r="T96" s="3"/>
      <c r="U96" s="3"/>
      <c r="V96" s="3"/>
      <c r="W96" s="3"/>
    </row>
    <row r="97" spans="1:23" x14ac:dyDescent="0.25">
      <c r="A97" s="9"/>
      <c r="B97" s="107" t="s">
        <v>232</v>
      </c>
      <c r="C97" s="108">
        <v>0.75</v>
      </c>
      <c r="D97" s="23"/>
      <c r="E97" s="107" t="s">
        <v>232</v>
      </c>
      <c r="F97" s="109">
        <v>0.25</v>
      </c>
      <c r="G97" s="109">
        <v>0.5</v>
      </c>
      <c r="H97" s="109">
        <v>0.75</v>
      </c>
      <c r="I97" s="159" t="s">
        <v>232</v>
      </c>
      <c r="J97" s="160"/>
      <c r="K97" s="109">
        <v>1</v>
      </c>
      <c r="L97" s="109">
        <v>0.5</v>
      </c>
      <c r="M97" s="35"/>
      <c r="N97" s="35"/>
      <c r="O97" s="35"/>
      <c r="P97" s="35"/>
      <c r="Q97" s="35"/>
      <c r="R97" s="35"/>
      <c r="S97" s="3"/>
      <c r="T97" s="3"/>
      <c r="U97" s="3"/>
      <c r="V97" s="3"/>
      <c r="W97" s="3"/>
    </row>
    <row r="98" spans="1:23" x14ac:dyDescent="0.25">
      <c r="A98" s="9"/>
      <c r="B98" s="107" t="s">
        <v>255</v>
      </c>
      <c r="C98" s="108">
        <v>1</v>
      </c>
      <c r="D98" s="23"/>
      <c r="E98" s="107" t="s">
        <v>255</v>
      </c>
      <c r="F98" s="109">
        <v>0.5</v>
      </c>
      <c r="G98" s="109">
        <v>0.75</v>
      </c>
      <c r="H98" s="109">
        <v>1</v>
      </c>
      <c r="I98" s="156" t="s">
        <v>255</v>
      </c>
      <c r="J98" s="156"/>
      <c r="K98" s="109">
        <v>2</v>
      </c>
      <c r="L98" s="109">
        <v>1</v>
      </c>
      <c r="M98" s="35"/>
      <c r="N98" s="35"/>
      <c r="O98" s="35"/>
      <c r="P98" s="35"/>
      <c r="Q98" s="35"/>
      <c r="R98" s="35"/>
      <c r="S98" s="3"/>
      <c r="T98" s="3"/>
      <c r="U98" s="3"/>
      <c r="V98" s="3"/>
      <c r="W98" s="3"/>
    </row>
    <row r="99" spans="1:23" x14ac:dyDescent="0.25">
      <c r="A99" s="9"/>
      <c r="B99" s="107" t="s">
        <v>86</v>
      </c>
      <c r="C99" s="108">
        <v>0.25</v>
      </c>
      <c r="D99" s="23"/>
      <c r="E99" s="107" t="s">
        <v>86</v>
      </c>
      <c r="F99" s="109">
        <v>0.25</v>
      </c>
      <c r="G99" s="109">
        <v>0.5</v>
      </c>
      <c r="H99" s="109">
        <v>0.75</v>
      </c>
      <c r="I99" s="157" t="s">
        <v>86</v>
      </c>
      <c r="J99" s="158"/>
      <c r="K99" s="109">
        <v>0.25</v>
      </c>
      <c r="L99" s="109">
        <v>0.25</v>
      </c>
      <c r="M99" s="35"/>
      <c r="N99" s="35"/>
      <c r="O99" s="35"/>
      <c r="P99" s="35"/>
      <c r="Q99" s="35"/>
      <c r="R99" s="35"/>
      <c r="S99" s="3"/>
      <c r="T99" s="3"/>
      <c r="U99" s="3"/>
      <c r="V99" s="3"/>
      <c r="W99" s="3"/>
    </row>
    <row r="100" spans="1:23" x14ac:dyDescent="0.25">
      <c r="A100" s="9"/>
      <c r="B100" s="107" t="s">
        <v>85</v>
      </c>
      <c r="C100" s="108">
        <v>0.25</v>
      </c>
      <c r="D100" s="23"/>
      <c r="E100" s="107" t="s">
        <v>85</v>
      </c>
      <c r="F100" s="109">
        <v>0.25</v>
      </c>
      <c r="G100" s="109">
        <v>0.5</v>
      </c>
      <c r="H100" s="109">
        <v>0.75</v>
      </c>
      <c r="I100" s="157" t="s">
        <v>85</v>
      </c>
      <c r="J100" s="158"/>
      <c r="K100" s="109">
        <v>0.25</v>
      </c>
      <c r="L100" s="109">
        <v>0.25</v>
      </c>
      <c r="M100" s="35"/>
      <c r="N100" s="35"/>
      <c r="O100" s="35"/>
      <c r="P100" s="35"/>
      <c r="Q100" s="35"/>
      <c r="R100" s="35"/>
      <c r="S100" s="3"/>
      <c r="T100" s="3"/>
      <c r="U100" s="3"/>
      <c r="V100" s="3"/>
      <c r="W100" s="3"/>
    </row>
    <row r="101" spans="1:23" x14ac:dyDescent="0.25">
      <c r="A101" s="9"/>
      <c r="B101" s="107" t="s">
        <v>258</v>
      </c>
      <c r="C101" s="108">
        <v>0.1</v>
      </c>
      <c r="D101" s="23"/>
      <c r="E101" s="107" t="s">
        <v>258</v>
      </c>
      <c r="F101" s="109">
        <v>0.1</v>
      </c>
      <c r="G101" s="109">
        <v>0.1</v>
      </c>
      <c r="H101" s="109">
        <v>0.1</v>
      </c>
      <c r="I101" s="156" t="s">
        <v>258</v>
      </c>
      <c r="J101" s="156"/>
      <c r="K101" s="109">
        <v>0.1</v>
      </c>
      <c r="L101" s="109">
        <v>0.1</v>
      </c>
      <c r="M101" s="35"/>
      <c r="N101" s="35"/>
      <c r="O101" s="35"/>
      <c r="P101" s="35"/>
      <c r="Q101" s="35"/>
      <c r="R101" s="35"/>
      <c r="S101" s="3"/>
      <c r="T101" s="3"/>
      <c r="U101" s="3"/>
      <c r="V101" s="3"/>
      <c r="W101" s="3"/>
    </row>
    <row r="102" spans="1:23" x14ac:dyDescent="0.25">
      <c r="A102" s="9"/>
      <c r="B102" s="107" t="s">
        <v>258</v>
      </c>
      <c r="C102" s="108">
        <v>0.1</v>
      </c>
      <c r="D102" s="23"/>
      <c r="E102" s="107" t="s">
        <v>258</v>
      </c>
      <c r="F102" s="109">
        <v>0.1</v>
      </c>
      <c r="G102" s="109">
        <v>0.1</v>
      </c>
      <c r="H102" s="109">
        <v>0.1</v>
      </c>
      <c r="I102" s="156" t="s">
        <v>258</v>
      </c>
      <c r="J102" s="156"/>
      <c r="K102" s="109">
        <v>0.1</v>
      </c>
      <c r="L102" s="109">
        <v>0.1</v>
      </c>
      <c r="M102" s="35"/>
      <c r="N102" s="35"/>
      <c r="O102" s="35"/>
      <c r="P102" s="35"/>
      <c r="Q102" s="35"/>
      <c r="R102" s="35"/>
      <c r="S102" s="3"/>
      <c r="T102" s="3"/>
      <c r="U102" s="3"/>
      <c r="V102" s="3"/>
      <c r="W102" s="3"/>
    </row>
    <row r="103" spans="1:23" x14ac:dyDescent="0.25">
      <c r="A103" s="9"/>
      <c r="B103" s="107" t="s">
        <v>137</v>
      </c>
      <c r="C103" s="108">
        <v>1</v>
      </c>
      <c r="D103" s="23"/>
      <c r="E103" s="107" t="s">
        <v>137</v>
      </c>
      <c r="F103" s="109">
        <v>0.5</v>
      </c>
      <c r="G103" s="109">
        <v>0.75</v>
      </c>
      <c r="H103" s="109">
        <v>1</v>
      </c>
      <c r="I103" s="156" t="s">
        <v>137</v>
      </c>
      <c r="J103" s="156"/>
      <c r="K103" s="109">
        <v>0.25</v>
      </c>
      <c r="L103" s="109">
        <v>0</v>
      </c>
      <c r="M103" s="35"/>
      <c r="N103" s="35"/>
      <c r="O103" s="35"/>
      <c r="P103" s="35"/>
      <c r="Q103" s="35"/>
      <c r="R103" s="35"/>
      <c r="S103" s="3"/>
      <c r="T103" s="3"/>
      <c r="U103" s="3"/>
      <c r="V103" s="3"/>
      <c r="W103" s="3"/>
    </row>
    <row r="104" spans="1:23" x14ac:dyDescent="0.25">
      <c r="A104" s="9"/>
      <c r="B104" s="107" t="s">
        <v>137</v>
      </c>
      <c r="C104" s="108">
        <v>1</v>
      </c>
      <c r="D104" s="23"/>
      <c r="E104" s="107" t="s">
        <v>137</v>
      </c>
      <c r="F104" s="109">
        <v>0.5</v>
      </c>
      <c r="G104" s="109">
        <v>0.75</v>
      </c>
      <c r="H104" s="109">
        <v>1</v>
      </c>
      <c r="I104" s="156" t="s">
        <v>137</v>
      </c>
      <c r="J104" s="156"/>
      <c r="K104" s="109">
        <v>0</v>
      </c>
      <c r="L104" s="109">
        <v>0</v>
      </c>
      <c r="M104" s="35"/>
      <c r="N104" s="35"/>
      <c r="O104" s="35"/>
      <c r="P104" s="35"/>
      <c r="Q104" s="35"/>
      <c r="R104" s="35"/>
      <c r="S104" s="3"/>
      <c r="T104" s="3"/>
      <c r="U104" s="3"/>
      <c r="V104" s="3"/>
      <c r="W104" s="3"/>
    </row>
    <row r="105" spans="1:23" x14ac:dyDescent="0.25">
      <c r="A105" s="9"/>
      <c r="B105" s="107" t="s">
        <v>137</v>
      </c>
      <c r="C105" s="108">
        <v>1</v>
      </c>
      <c r="D105" s="23"/>
      <c r="E105" s="107" t="s">
        <v>137</v>
      </c>
      <c r="F105" s="109">
        <v>0.5</v>
      </c>
      <c r="G105" s="109">
        <v>0.75</v>
      </c>
      <c r="H105" s="109">
        <v>1</v>
      </c>
      <c r="I105" s="156" t="s">
        <v>137</v>
      </c>
      <c r="J105" s="156"/>
      <c r="K105" s="109">
        <v>0</v>
      </c>
      <c r="L105" s="109">
        <v>0</v>
      </c>
      <c r="M105" s="35"/>
      <c r="N105" s="35"/>
      <c r="O105" s="35"/>
      <c r="P105" s="35"/>
      <c r="Q105" s="35"/>
      <c r="R105" s="35"/>
      <c r="S105" s="3"/>
      <c r="T105" s="3"/>
      <c r="U105" s="3"/>
      <c r="V105" s="3"/>
      <c r="W105" s="3"/>
    </row>
    <row r="106" spans="1:23" x14ac:dyDescent="0.25">
      <c r="A106" s="9"/>
      <c r="B106" s="107" t="s">
        <v>137</v>
      </c>
      <c r="C106" s="108">
        <v>1</v>
      </c>
      <c r="D106" s="23"/>
      <c r="E106" s="107" t="s">
        <v>137</v>
      </c>
      <c r="F106" s="109">
        <v>0.5</v>
      </c>
      <c r="G106" s="109">
        <v>0.75</v>
      </c>
      <c r="H106" s="109">
        <v>1</v>
      </c>
      <c r="I106" s="156" t="s">
        <v>137</v>
      </c>
      <c r="J106" s="156"/>
      <c r="K106" s="109">
        <v>0</v>
      </c>
      <c r="L106" s="109">
        <v>0</v>
      </c>
      <c r="M106" s="35"/>
      <c r="N106" s="35"/>
      <c r="O106" s="35"/>
      <c r="P106" s="35"/>
      <c r="Q106" s="35"/>
      <c r="R106" s="35"/>
      <c r="S106" s="3"/>
      <c r="T106" s="3"/>
      <c r="U106" s="3"/>
      <c r="V106" s="3"/>
      <c r="W106" s="3"/>
    </row>
    <row r="107" spans="1:23" x14ac:dyDescent="0.25">
      <c r="A107" s="9"/>
      <c r="B107" s="107" t="s">
        <v>5</v>
      </c>
      <c r="C107" s="108">
        <v>1</v>
      </c>
      <c r="D107" s="23"/>
      <c r="E107" s="107" t="s">
        <v>5</v>
      </c>
      <c r="F107" s="109">
        <v>0.5</v>
      </c>
      <c r="G107" s="109">
        <v>0.75</v>
      </c>
      <c r="H107" s="109">
        <v>1</v>
      </c>
      <c r="I107" s="156" t="s">
        <v>5</v>
      </c>
      <c r="J107" s="156"/>
      <c r="K107" s="109">
        <v>1</v>
      </c>
      <c r="L107" s="109">
        <v>0.5</v>
      </c>
      <c r="M107" s="35"/>
      <c r="N107" s="35"/>
      <c r="O107" s="35"/>
      <c r="P107" s="35"/>
      <c r="Q107" s="35"/>
      <c r="R107" s="35"/>
      <c r="S107" s="3"/>
      <c r="T107" s="3"/>
      <c r="U107" s="3"/>
      <c r="V107" s="3"/>
      <c r="W107" s="3"/>
    </row>
    <row r="108" spans="1:23" x14ac:dyDescent="0.25">
      <c r="A108" s="9"/>
      <c r="B108" s="107" t="s">
        <v>5</v>
      </c>
      <c r="C108" s="108">
        <v>1</v>
      </c>
      <c r="D108" s="23"/>
      <c r="E108" s="107" t="s">
        <v>5</v>
      </c>
      <c r="F108" s="109">
        <v>0.5</v>
      </c>
      <c r="G108" s="109">
        <v>0.75</v>
      </c>
      <c r="H108" s="109">
        <v>1</v>
      </c>
      <c r="I108" s="156" t="s">
        <v>5</v>
      </c>
      <c r="J108" s="156"/>
      <c r="K108" s="109">
        <v>1</v>
      </c>
      <c r="L108" s="109">
        <v>0.5</v>
      </c>
      <c r="M108" s="35"/>
      <c r="N108" s="35"/>
      <c r="O108" s="35"/>
      <c r="P108" s="35"/>
      <c r="Q108" s="35"/>
      <c r="R108" s="35"/>
      <c r="S108" s="3"/>
      <c r="T108" s="3"/>
      <c r="U108" s="3"/>
      <c r="V108" s="3"/>
      <c r="W108" s="3"/>
    </row>
    <row r="109" spans="1:23" x14ac:dyDescent="0.25">
      <c r="A109" s="9"/>
      <c r="B109" s="107" t="s">
        <v>5</v>
      </c>
      <c r="C109" s="108">
        <v>1</v>
      </c>
      <c r="D109" s="23"/>
      <c r="E109" s="107" t="s">
        <v>5</v>
      </c>
      <c r="F109" s="109">
        <v>0.5</v>
      </c>
      <c r="G109" s="109">
        <v>0.75</v>
      </c>
      <c r="H109" s="109">
        <v>1</v>
      </c>
      <c r="I109" s="156" t="s">
        <v>5</v>
      </c>
      <c r="J109" s="156"/>
      <c r="K109" s="109">
        <v>1</v>
      </c>
      <c r="L109" s="109">
        <v>0.5</v>
      </c>
      <c r="M109" s="35"/>
      <c r="N109" s="35"/>
      <c r="O109" s="35"/>
      <c r="P109" s="35"/>
      <c r="Q109" s="35"/>
      <c r="R109" s="35"/>
      <c r="S109" s="3"/>
      <c r="T109" s="3"/>
      <c r="U109" s="3"/>
      <c r="V109" s="3"/>
      <c r="W109" s="3"/>
    </row>
    <row r="110" spans="1:23" x14ac:dyDescent="0.25">
      <c r="A110" s="9"/>
      <c r="B110" s="107" t="s">
        <v>5</v>
      </c>
      <c r="C110" s="108">
        <v>1</v>
      </c>
      <c r="D110" s="23"/>
      <c r="E110" s="107" t="s">
        <v>5</v>
      </c>
      <c r="F110" s="109">
        <v>0.5</v>
      </c>
      <c r="G110" s="109">
        <v>0.75</v>
      </c>
      <c r="H110" s="109">
        <v>1</v>
      </c>
      <c r="I110" s="156" t="s">
        <v>5</v>
      </c>
      <c r="J110" s="156"/>
      <c r="K110" s="109">
        <v>1</v>
      </c>
      <c r="L110" s="109">
        <v>0.5</v>
      </c>
      <c r="M110" s="35"/>
      <c r="N110" s="35"/>
      <c r="O110" s="35"/>
      <c r="P110" s="35"/>
      <c r="Q110" s="35"/>
      <c r="R110" s="35"/>
      <c r="S110" s="3"/>
      <c r="T110" s="3"/>
      <c r="U110" s="3"/>
      <c r="V110" s="3"/>
      <c r="W110" s="3"/>
    </row>
    <row r="111" spans="1:23" x14ac:dyDescent="0.25">
      <c r="A111" s="9"/>
      <c r="B111" s="107" t="s">
        <v>138</v>
      </c>
      <c r="C111" s="108">
        <v>2</v>
      </c>
      <c r="D111" s="23"/>
      <c r="E111" s="107" t="s">
        <v>138</v>
      </c>
      <c r="F111" s="109">
        <v>1</v>
      </c>
      <c r="G111" s="109">
        <v>1.5</v>
      </c>
      <c r="H111" s="109">
        <v>2</v>
      </c>
      <c r="I111" s="156" t="s">
        <v>138</v>
      </c>
      <c r="J111" s="156"/>
      <c r="K111" s="109">
        <v>0</v>
      </c>
      <c r="L111" s="109">
        <v>0</v>
      </c>
      <c r="M111" s="35"/>
      <c r="N111" s="35"/>
      <c r="O111" s="35"/>
      <c r="P111" s="35"/>
      <c r="Q111" s="35"/>
      <c r="R111" s="35"/>
      <c r="S111" s="3"/>
      <c r="T111" s="3"/>
      <c r="U111" s="3"/>
      <c r="V111" s="3"/>
      <c r="W111" s="3"/>
    </row>
    <row r="112" spans="1:23" x14ac:dyDescent="0.25">
      <c r="A112" s="9"/>
      <c r="B112" s="107" t="s">
        <v>139</v>
      </c>
      <c r="C112" s="108">
        <v>2</v>
      </c>
      <c r="D112" s="23"/>
      <c r="E112" s="107" t="s">
        <v>139</v>
      </c>
      <c r="F112" s="109">
        <v>1</v>
      </c>
      <c r="G112" s="109">
        <v>1.5</v>
      </c>
      <c r="H112" s="109">
        <v>2</v>
      </c>
      <c r="I112" s="156" t="s">
        <v>139</v>
      </c>
      <c r="J112" s="156"/>
      <c r="K112" s="109">
        <v>0</v>
      </c>
      <c r="L112" s="109">
        <v>0</v>
      </c>
      <c r="M112" s="35"/>
      <c r="N112" s="35"/>
      <c r="O112" s="35"/>
      <c r="P112" s="35"/>
      <c r="Q112" s="35"/>
      <c r="R112" s="35"/>
      <c r="S112" s="3"/>
      <c r="T112" s="3"/>
      <c r="U112" s="3"/>
      <c r="V112" s="3"/>
      <c r="W112" s="3"/>
    </row>
    <row r="113" spans="1:23" x14ac:dyDescent="0.25">
      <c r="A113" s="9"/>
      <c r="B113" s="107" t="s">
        <v>140</v>
      </c>
      <c r="C113" s="108">
        <v>2</v>
      </c>
      <c r="D113" s="23"/>
      <c r="E113" s="107" t="s">
        <v>140</v>
      </c>
      <c r="F113" s="109">
        <v>1</v>
      </c>
      <c r="G113" s="109">
        <v>1.5</v>
      </c>
      <c r="H113" s="109">
        <v>2</v>
      </c>
      <c r="I113" s="156" t="s">
        <v>140</v>
      </c>
      <c r="J113" s="156"/>
      <c r="K113" s="109">
        <v>0</v>
      </c>
      <c r="L113" s="109">
        <v>0</v>
      </c>
      <c r="M113" s="35"/>
      <c r="N113" s="35"/>
      <c r="O113" s="35"/>
      <c r="P113" s="35"/>
      <c r="Q113" s="35"/>
      <c r="R113" s="35"/>
      <c r="S113" s="3"/>
      <c r="T113" s="3"/>
      <c r="U113" s="3"/>
      <c r="V113" s="3"/>
      <c r="W113" s="3"/>
    </row>
    <row r="114" spans="1:23" x14ac:dyDescent="0.25">
      <c r="B114" s="110" t="s">
        <v>233</v>
      </c>
      <c r="C114" s="111">
        <v>1</v>
      </c>
      <c r="D114" s="3"/>
      <c r="E114" s="110" t="s">
        <v>233</v>
      </c>
      <c r="F114" s="112"/>
      <c r="G114" s="112"/>
      <c r="H114" s="112"/>
      <c r="I114" s="165" t="s">
        <v>233</v>
      </c>
      <c r="J114" s="165"/>
      <c r="K114" s="112"/>
      <c r="L114" s="112"/>
      <c r="M114" s="35"/>
      <c r="N114" s="35"/>
      <c r="O114" s="35"/>
      <c r="P114" s="35"/>
      <c r="Q114" s="35"/>
      <c r="R114" s="35"/>
      <c r="S114" s="3"/>
      <c r="T114" s="3"/>
      <c r="U114" s="3"/>
      <c r="V114" s="3"/>
      <c r="W114" s="3"/>
    </row>
    <row r="115" spans="1:23" x14ac:dyDescent="0.25">
      <c r="B115" s="110" t="s">
        <v>234</v>
      </c>
      <c r="C115" s="111">
        <v>1</v>
      </c>
      <c r="D115" s="3"/>
      <c r="E115" s="110" t="s">
        <v>234</v>
      </c>
      <c r="F115" s="112"/>
      <c r="G115" s="112"/>
      <c r="H115" s="112"/>
      <c r="I115" s="166" t="s">
        <v>234</v>
      </c>
      <c r="J115" s="166"/>
      <c r="K115" s="112"/>
      <c r="L115" s="112"/>
      <c r="M115" s="35"/>
      <c r="N115" s="35"/>
      <c r="O115" s="35"/>
      <c r="P115" s="35"/>
      <c r="Q115" s="35"/>
      <c r="R115" s="35"/>
      <c r="S115" s="3"/>
      <c r="T115" s="3"/>
      <c r="U115" s="3"/>
      <c r="V115" s="3"/>
      <c r="W115" s="3"/>
    </row>
    <row r="116" spans="1:23" x14ac:dyDescent="0.25">
      <c r="B116" s="3">
        <v>0</v>
      </c>
      <c r="C116" s="111">
        <v>0</v>
      </c>
      <c r="D116" s="3"/>
      <c r="E116" s="3">
        <v>0</v>
      </c>
      <c r="F116" s="35">
        <v>0</v>
      </c>
      <c r="G116" s="35">
        <v>0</v>
      </c>
      <c r="H116" s="35">
        <v>0</v>
      </c>
      <c r="I116" s="168">
        <v>0</v>
      </c>
      <c r="J116" s="168"/>
      <c r="K116" s="35">
        <v>0</v>
      </c>
      <c r="L116" s="35">
        <v>0</v>
      </c>
      <c r="M116" s="35"/>
      <c r="N116" s="35"/>
      <c r="O116" s="35"/>
      <c r="P116" s="35"/>
      <c r="Q116" s="35"/>
      <c r="R116" s="35"/>
      <c r="S116" s="3"/>
      <c r="T116" s="3"/>
      <c r="U116" s="3"/>
      <c r="V116" s="3"/>
      <c r="W116" s="3"/>
    </row>
    <row r="117" spans="1:23" x14ac:dyDescent="0.25">
      <c r="A117" s="9"/>
      <c r="B117" s="80" t="s">
        <v>142</v>
      </c>
      <c r="C117" s="23"/>
      <c r="D117" s="23"/>
      <c r="E117" s="80" t="s">
        <v>142</v>
      </c>
      <c r="F117" s="81"/>
      <c r="G117" s="81"/>
      <c r="H117" s="81"/>
      <c r="I117" s="147" t="s">
        <v>142</v>
      </c>
      <c r="J117" s="147"/>
      <c r="K117" s="81"/>
      <c r="L117" s="81"/>
      <c r="M117" s="35"/>
      <c r="N117" s="35"/>
      <c r="O117" s="35"/>
      <c r="P117" s="35"/>
      <c r="Q117" s="35"/>
      <c r="R117" s="35"/>
      <c r="S117" s="3"/>
      <c r="T117" s="3"/>
      <c r="U117" s="3"/>
      <c r="V117" s="3"/>
      <c r="W117" s="3"/>
    </row>
    <row r="118" spans="1:23" x14ac:dyDescent="0.25">
      <c r="A118" s="19" t="s">
        <v>116</v>
      </c>
      <c r="B118" s="82" t="s">
        <v>110</v>
      </c>
      <c r="C118" s="82" t="s">
        <v>73</v>
      </c>
      <c r="D118" s="113" t="s">
        <v>116</v>
      </c>
      <c r="E118" s="82" t="s">
        <v>112</v>
      </c>
      <c r="F118" s="82" t="s">
        <v>113</v>
      </c>
      <c r="G118" s="82" t="s">
        <v>114</v>
      </c>
      <c r="H118" s="82" t="s">
        <v>115</v>
      </c>
      <c r="I118" s="148" t="s">
        <v>117</v>
      </c>
      <c r="J118" s="148"/>
      <c r="K118" s="85" t="s">
        <v>119</v>
      </c>
      <c r="L118" s="85" t="s">
        <v>120</v>
      </c>
      <c r="M118" s="35"/>
      <c r="N118" s="35"/>
      <c r="O118" s="35"/>
      <c r="P118" s="35"/>
      <c r="Q118" s="35"/>
      <c r="R118" s="35"/>
      <c r="S118" s="3"/>
      <c r="T118" s="3"/>
      <c r="U118" s="3"/>
      <c r="V118" s="3"/>
      <c r="W118" s="3"/>
    </row>
    <row r="119" spans="1:23" x14ac:dyDescent="0.25">
      <c r="A119" s="9"/>
      <c r="B119" s="114" t="s">
        <v>143</v>
      </c>
      <c r="C119" s="115">
        <v>2.5</v>
      </c>
      <c r="D119" s="23"/>
      <c r="E119" s="114" t="s">
        <v>143</v>
      </c>
      <c r="F119" s="115">
        <v>0.5</v>
      </c>
      <c r="G119" s="115">
        <v>1</v>
      </c>
      <c r="H119" s="115">
        <v>1.5</v>
      </c>
      <c r="I119" s="167" t="s">
        <v>143</v>
      </c>
      <c r="J119" s="167"/>
      <c r="K119" s="115">
        <v>0</v>
      </c>
      <c r="L119" s="115">
        <v>0</v>
      </c>
      <c r="M119" s="35"/>
      <c r="N119" s="35"/>
      <c r="O119" s="35"/>
      <c r="P119" s="35"/>
      <c r="Q119" s="35"/>
      <c r="R119" s="35"/>
      <c r="S119" s="3"/>
      <c r="T119" s="3"/>
      <c r="U119" s="3"/>
      <c r="V119" s="3"/>
      <c r="W119" s="3"/>
    </row>
    <row r="120" spans="1:23" x14ac:dyDescent="0.25">
      <c r="A120" s="9"/>
      <c r="B120" s="114" t="s">
        <v>259</v>
      </c>
      <c r="C120" s="115">
        <v>0.25</v>
      </c>
      <c r="D120" s="23"/>
      <c r="E120" s="114" t="s">
        <v>259</v>
      </c>
      <c r="F120" s="115">
        <v>0.25</v>
      </c>
      <c r="G120" s="115">
        <v>0.5</v>
      </c>
      <c r="H120" s="115">
        <v>0.75</v>
      </c>
      <c r="I120" s="167" t="s">
        <v>259</v>
      </c>
      <c r="J120" s="167"/>
      <c r="K120" s="115">
        <v>0.5</v>
      </c>
      <c r="L120" s="115">
        <v>0.25</v>
      </c>
      <c r="M120" s="35"/>
      <c r="N120" s="35"/>
      <c r="O120" s="35"/>
      <c r="P120" s="35"/>
      <c r="Q120" s="35"/>
      <c r="R120" s="35"/>
      <c r="S120" s="3"/>
      <c r="T120" s="3"/>
      <c r="U120" s="3"/>
      <c r="V120" s="3"/>
      <c r="W120" s="3"/>
    </row>
    <row r="121" spans="1:23" x14ac:dyDescent="0.25">
      <c r="A121" s="9"/>
      <c r="B121" s="114" t="s">
        <v>91</v>
      </c>
      <c r="C121" s="115">
        <v>1</v>
      </c>
      <c r="D121" s="23"/>
      <c r="E121" s="114" t="s">
        <v>91</v>
      </c>
      <c r="F121" s="115">
        <v>0.5</v>
      </c>
      <c r="G121" s="115">
        <v>0.75</v>
      </c>
      <c r="H121" s="115">
        <v>1</v>
      </c>
      <c r="I121" s="167" t="s">
        <v>91</v>
      </c>
      <c r="J121" s="167"/>
      <c r="K121" s="115">
        <v>0.5</v>
      </c>
      <c r="L121" s="115">
        <v>0.25</v>
      </c>
      <c r="M121" s="35">
        <v>1.5</v>
      </c>
      <c r="N121" s="35"/>
      <c r="O121" s="35"/>
      <c r="P121" s="35"/>
      <c r="Q121" s="35"/>
      <c r="R121" s="35"/>
      <c r="S121" s="3"/>
      <c r="T121" s="3"/>
      <c r="U121" s="3"/>
      <c r="V121" s="3"/>
      <c r="W121" s="3"/>
    </row>
    <row r="122" spans="1:23" ht="14.45" customHeight="1" x14ac:dyDescent="0.25">
      <c r="A122" s="9"/>
      <c r="B122" s="107" t="s">
        <v>86</v>
      </c>
      <c r="C122" s="108">
        <v>0.2</v>
      </c>
      <c r="D122" s="23"/>
      <c r="E122" s="107" t="s">
        <v>86</v>
      </c>
      <c r="F122" s="109">
        <v>0.25</v>
      </c>
      <c r="G122" s="109">
        <v>0.5</v>
      </c>
      <c r="H122" s="109">
        <v>0.75</v>
      </c>
      <c r="I122" s="157" t="s">
        <v>86</v>
      </c>
      <c r="J122" s="158"/>
      <c r="K122" s="109">
        <v>0.25</v>
      </c>
      <c r="L122" s="109">
        <v>0.15</v>
      </c>
      <c r="M122" s="35"/>
      <c r="N122" s="35"/>
      <c r="O122" s="35"/>
      <c r="P122" s="35"/>
      <c r="Q122" s="35"/>
      <c r="R122" s="35"/>
      <c r="S122" s="3"/>
      <c r="T122" s="3"/>
      <c r="U122" s="3"/>
      <c r="V122" s="3"/>
      <c r="W122" s="3"/>
    </row>
    <row r="123" spans="1:23" ht="14.45" customHeight="1" x14ac:dyDescent="0.25">
      <c r="A123" s="9"/>
      <c r="B123" s="107" t="s">
        <v>85</v>
      </c>
      <c r="C123" s="108">
        <v>0.2</v>
      </c>
      <c r="D123" s="23"/>
      <c r="E123" s="107" t="s">
        <v>85</v>
      </c>
      <c r="F123" s="109">
        <v>0.25</v>
      </c>
      <c r="G123" s="109">
        <v>0.5</v>
      </c>
      <c r="H123" s="109">
        <v>0.75</v>
      </c>
      <c r="I123" s="157" t="s">
        <v>85</v>
      </c>
      <c r="J123" s="158"/>
      <c r="K123" s="109">
        <v>0.25</v>
      </c>
      <c r="L123" s="109">
        <v>0.15</v>
      </c>
      <c r="M123" s="35"/>
      <c r="N123" s="35"/>
      <c r="O123" s="35"/>
      <c r="P123" s="35"/>
      <c r="Q123" s="35"/>
      <c r="R123" s="35"/>
      <c r="S123" s="3"/>
      <c r="T123" s="3"/>
      <c r="U123" s="3"/>
      <c r="V123" s="3"/>
      <c r="W123" s="3"/>
    </row>
    <row r="124" spans="1:23" x14ac:dyDescent="0.25">
      <c r="A124" s="9"/>
      <c r="B124" s="114" t="s">
        <v>144</v>
      </c>
      <c r="C124" s="115">
        <v>0.5</v>
      </c>
      <c r="D124" s="23"/>
      <c r="E124" s="114" t="s">
        <v>144</v>
      </c>
      <c r="F124" s="115">
        <v>0.25</v>
      </c>
      <c r="G124" s="115">
        <v>0.5</v>
      </c>
      <c r="H124" s="115">
        <v>0.75</v>
      </c>
      <c r="I124" s="167" t="s">
        <v>144</v>
      </c>
      <c r="J124" s="167"/>
      <c r="K124" s="115">
        <v>0.4</v>
      </c>
      <c r="L124" s="115">
        <v>0.2</v>
      </c>
      <c r="M124" s="35">
        <v>0.6</v>
      </c>
      <c r="N124" s="35"/>
      <c r="O124" s="35"/>
      <c r="P124" s="35"/>
      <c r="Q124" s="35"/>
      <c r="R124" s="35"/>
      <c r="S124" s="3"/>
      <c r="T124" s="3"/>
      <c r="U124" s="3"/>
      <c r="V124" s="3"/>
      <c r="W124" s="3"/>
    </row>
    <row r="125" spans="1:23" ht="14.45" customHeight="1" x14ac:dyDescent="0.25">
      <c r="A125" s="9"/>
      <c r="B125" s="114" t="s">
        <v>145</v>
      </c>
      <c r="C125" s="115">
        <v>0.5</v>
      </c>
      <c r="D125" s="23"/>
      <c r="E125" s="114" t="s">
        <v>145</v>
      </c>
      <c r="F125" s="115">
        <v>0.25</v>
      </c>
      <c r="G125" s="115">
        <v>0.5</v>
      </c>
      <c r="H125" s="115">
        <v>0.75</v>
      </c>
      <c r="I125" s="167" t="s">
        <v>145</v>
      </c>
      <c r="J125" s="167"/>
      <c r="K125" s="115">
        <v>0.4</v>
      </c>
      <c r="L125" s="115">
        <v>0.2</v>
      </c>
      <c r="M125" s="35">
        <v>0.6</v>
      </c>
      <c r="N125" s="35"/>
      <c r="O125" s="35"/>
      <c r="P125" s="35"/>
      <c r="Q125" s="35"/>
      <c r="R125" s="35"/>
      <c r="S125" s="3"/>
      <c r="T125" s="3"/>
      <c r="U125" s="3"/>
      <c r="V125" s="3"/>
      <c r="W125" s="3"/>
    </row>
    <row r="126" spans="1:23" x14ac:dyDescent="0.25">
      <c r="A126" s="9"/>
      <c r="B126" s="114" t="s">
        <v>5</v>
      </c>
      <c r="C126" s="115">
        <v>2</v>
      </c>
      <c r="D126" s="23"/>
      <c r="E126" s="114" t="s">
        <v>5</v>
      </c>
      <c r="F126" s="115">
        <v>0.5</v>
      </c>
      <c r="G126" s="115">
        <v>0.75</v>
      </c>
      <c r="H126" s="115">
        <v>1</v>
      </c>
      <c r="I126" s="171" t="s">
        <v>5</v>
      </c>
      <c r="J126" s="172"/>
      <c r="K126" s="115">
        <v>1</v>
      </c>
      <c r="L126" s="115">
        <v>0.5</v>
      </c>
      <c r="M126" s="35"/>
      <c r="N126" s="35"/>
      <c r="O126" s="35"/>
      <c r="P126" s="35"/>
      <c r="Q126" s="35"/>
      <c r="R126" s="35"/>
      <c r="S126" s="3"/>
      <c r="T126" s="3"/>
      <c r="U126" s="3"/>
      <c r="V126" s="3"/>
      <c r="W126" s="3"/>
    </row>
    <row r="127" spans="1:23" x14ac:dyDescent="0.25">
      <c r="A127" s="9"/>
      <c r="B127" s="114" t="s">
        <v>146</v>
      </c>
      <c r="C127" s="115">
        <v>1</v>
      </c>
      <c r="D127" s="23"/>
      <c r="E127" s="114" t="s">
        <v>146</v>
      </c>
      <c r="F127" s="115">
        <v>0.25</v>
      </c>
      <c r="G127" s="115">
        <v>0.5</v>
      </c>
      <c r="H127" s="115">
        <v>0.75</v>
      </c>
      <c r="I127" s="171" t="s">
        <v>146</v>
      </c>
      <c r="J127" s="172"/>
      <c r="K127" s="115">
        <v>0.75</v>
      </c>
      <c r="L127" s="115">
        <v>0.4</v>
      </c>
      <c r="M127" s="35"/>
      <c r="N127" s="35"/>
      <c r="O127" s="35"/>
      <c r="P127" s="35"/>
      <c r="Q127" s="35"/>
      <c r="R127" s="35"/>
      <c r="S127" s="3"/>
      <c r="T127" s="3"/>
      <c r="U127" s="3"/>
      <c r="V127" s="3"/>
      <c r="W127" s="3"/>
    </row>
    <row r="128" spans="1:23" x14ac:dyDescent="0.25">
      <c r="A128" s="9"/>
      <c r="B128" s="114" t="s">
        <v>147</v>
      </c>
      <c r="C128" s="115">
        <v>1</v>
      </c>
      <c r="D128" s="23"/>
      <c r="E128" s="114" t="s">
        <v>147</v>
      </c>
      <c r="F128" s="115">
        <v>0.25</v>
      </c>
      <c r="G128" s="115">
        <v>0.5</v>
      </c>
      <c r="H128" s="115">
        <v>0.75</v>
      </c>
      <c r="I128" s="171" t="s">
        <v>147</v>
      </c>
      <c r="J128" s="172"/>
      <c r="K128" s="115">
        <v>0.75</v>
      </c>
      <c r="L128" s="115">
        <v>0.4</v>
      </c>
      <c r="M128" s="35"/>
      <c r="N128" s="35"/>
      <c r="O128" s="35"/>
      <c r="P128" s="35"/>
      <c r="Q128" s="35"/>
      <c r="R128" s="35"/>
      <c r="S128" s="3"/>
      <c r="T128" s="3"/>
      <c r="U128" s="3"/>
      <c r="V128" s="3"/>
      <c r="W128" s="3"/>
    </row>
    <row r="129" spans="1:23" x14ac:dyDescent="0.25">
      <c r="A129" s="9"/>
      <c r="B129" s="114" t="s">
        <v>148</v>
      </c>
      <c r="C129" s="115">
        <v>0.5</v>
      </c>
      <c r="D129" s="23"/>
      <c r="E129" s="114" t="s">
        <v>148</v>
      </c>
      <c r="F129" s="115">
        <v>0.5</v>
      </c>
      <c r="G129" s="115">
        <v>0.75</v>
      </c>
      <c r="H129" s="115">
        <v>1</v>
      </c>
      <c r="I129" s="171" t="s">
        <v>148</v>
      </c>
      <c r="J129" s="172"/>
      <c r="K129" s="115">
        <v>0.5</v>
      </c>
      <c r="L129" s="115">
        <v>0.25</v>
      </c>
      <c r="M129" s="35"/>
      <c r="N129" s="35"/>
      <c r="O129" s="35"/>
      <c r="P129" s="35"/>
      <c r="Q129" s="35"/>
      <c r="R129" s="35"/>
      <c r="S129" s="3"/>
      <c r="T129" s="3"/>
      <c r="U129" s="3"/>
      <c r="V129" s="3"/>
      <c r="W129" s="3"/>
    </row>
    <row r="130" spans="1:23" x14ac:dyDescent="0.25">
      <c r="A130" s="9"/>
      <c r="B130" s="114" t="s">
        <v>149</v>
      </c>
      <c r="C130" s="115">
        <v>0.5</v>
      </c>
      <c r="D130" s="23"/>
      <c r="E130" s="114" t="s">
        <v>149</v>
      </c>
      <c r="F130" s="115">
        <v>0.5</v>
      </c>
      <c r="G130" s="115">
        <v>0.75</v>
      </c>
      <c r="H130" s="115">
        <v>1</v>
      </c>
      <c r="I130" s="171" t="s">
        <v>149</v>
      </c>
      <c r="J130" s="172"/>
      <c r="K130" s="115">
        <v>0.5</v>
      </c>
      <c r="L130" s="115">
        <v>0.25</v>
      </c>
      <c r="M130" s="35"/>
      <c r="N130" s="35"/>
      <c r="O130" s="35"/>
      <c r="P130" s="35"/>
      <c r="Q130" s="35"/>
      <c r="R130" s="35"/>
      <c r="S130" s="3"/>
      <c r="T130" s="3"/>
      <c r="U130" s="3"/>
      <c r="V130" s="3"/>
      <c r="W130" s="3"/>
    </row>
    <row r="131" spans="1:23" x14ac:dyDescent="0.25">
      <c r="A131" s="9"/>
      <c r="B131" s="114" t="s">
        <v>136</v>
      </c>
      <c r="C131" s="115">
        <v>2</v>
      </c>
      <c r="D131" s="23"/>
      <c r="E131" s="114" t="s">
        <v>136</v>
      </c>
      <c r="F131" s="115">
        <v>0.5</v>
      </c>
      <c r="G131" s="115">
        <v>0.75</v>
      </c>
      <c r="H131" s="115">
        <v>1</v>
      </c>
      <c r="I131" s="171" t="s">
        <v>136</v>
      </c>
      <c r="J131" s="172"/>
      <c r="K131" s="115">
        <v>1</v>
      </c>
      <c r="L131" s="115">
        <v>0.5</v>
      </c>
      <c r="M131" s="35"/>
      <c r="N131" s="35"/>
      <c r="O131" s="35"/>
      <c r="P131" s="35"/>
      <c r="Q131" s="35"/>
      <c r="R131" s="35"/>
      <c r="S131" s="3"/>
      <c r="T131" s="3"/>
      <c r="U131" s="3"/>
      <c r="V131" s="3"/>
      <c r="W131" s="3"/>
    </row>
    <row r="132" spans="1:23" x14ac:dyDescent="0.25">
      <c r="A132" s="9"/>
      <c r="B132" s="114" t="s">
        <v>251</v>
      </c>
      <c r="C132" s="115">
        <v>1</v>
      </c>
      <c r="D132" s="23"/>
      <c r="E132" s="114" t="s">
        <v>251</v>
      </c>
      <c r="F132" s="115">
        <v>0</v>
      </c>
      <c r="G132" s="115">
        <v>0</v>
      </c>
      <c r="H132" s="115">
        <v>0</v>
      </c>
      <c r="I132" s="173" t="s">
        <v>251</v>
      </c>
      <c r="J132" s="174"/>
      <c r="K132" s="115">
        <v>4</v>
      </c>
      <c r="L132" s="115">
        <v>0</v>
      </c>
      <c r="M132" s="116" t="s">
        <v>250</v>
      </c>
      <c r="N132" s="35"/>
      <c r="O132" s="35"/>
      <c r="P132" s="35"/>
      <c r="Q132" s="35"/>
      <c r="R132" s="35"/>
      <c r="S132" s="3"/>
      <c r="T132" s="3"/>
      <c r="U132" s="3"/>
      <c r="V132" s="3"/>
      <c r="W132" s="3"/>
    </row>
    <row r="133" spans="1:23" x14ac:dyDescent="0.25">
      <c r="A133" s="9"/>
      <c r="B133" s="114" t="s">
        <v>150</v>
      </c>
      <c r="C133" s="115">
        <v>2</v>
      </c>
      <c r="D133" s="23"/>
      <c r="E133" s="114" t="s">
        <v>150</v>
      </c>
      <c r="F133" s="115">
        <v>0.5</v>
      </c>
      <c r="G133" s="115">
        <v>0.75</v>
      </c>
      <c r="H133" s="115">
        <v>1</v>
      </c>
      <c r="I133" s="143" t="s">
        <v>150</v>
      </c>
      <c r="J133" s="144"/>
      <c r="K133" s="115">
        <v>0.4</v>
      </c>
      <c r="L133" s="115">
        <v>0.2</v>
      </c>
      <c r="M133" s="35"/>
      <c r="N133" s="35"/>
      <c r="O133" s="35"/>
      <c r="P133" s="35"/>
      <c r="Q133" s="35"/>
      <c r="R133" s="35"/>
      <c r="S133" s="3"/>
      <c r="T133" s="3"/>
      <c r="U133" s="3"/>
      <c r="V133" s="3"/>
      <c r="W133" s="3"/>
    </row>
    <row r="134" spans="1:23" x14ac:dyDescent="0.25">
      <c r="A134" s="9"/>
      <c r="B134" s="110" t="s">
        <v>135</v>
      </c>
      <c r="C134" s="108">
        <v>0.5</v>
      </c>
      <c r="D134" s="23"/>
      <c r="E134" s="110" t="s">
        <v>135</v>
      </c>
      <c r="F134" s="108">
        <v>0.25</v>
      </c>
      <c r="G134" s="108">
        <v>0.5</v>
      </c>
      <c r="H134" s="108">
        <v>0.75</v>
      </c>
      <c r="I134" s="117" t="s">
        <v>135</v>
      </c>
      <c r="J134" s="118"/>
      <c r="K134" s="108">
        <v>1</v>
      </c>
      <c r="L134" s="108">
        <v>0.5</v>
      </c>
      <c r="M134" s="35"/>
      <c r="N134" s="35"/>
      <c r="O134" s="35"/>
      <c r="P134" s="35"/>
      <c r="Q134" s="35"/>
      <c r="R134" s="35"/>
      <c r="S134" s="3"/>
      <c r="T134" s="3"/>
      <c r="U134" s="3"/>
      <c r="V134" s="3"/>
      <c r="W134" s="3"/>
    </row>
    <row r="135" spans="1:23" x14ac:dyDescent="0.25">
      <c r="A135" s="9"/>
      <c r="B135" s="107" t="s">
        <v>223</v>
      </c>
      <c r="C135" s="108">
        <v>0.5</v>
      </c>
      <c r="D135" s="23"/>
      <c r="E135" s="107" t="s">
        <v>223</v>
      </c>
      <c r="F135" s="109">
        <v>0.25</v>
      </c>
      <c r="G135" s="109">
        <v>0.5</v>
      </c>
      <c r="H135" s="109">
        <v>0.75</v>
      </c>
      <c r="I135" s="159" t="s">
        <v>223</v>
      </c>
      <c r="J135" s="160"/>
      <c r="K135" s="109">
        <v>1</v>
      </c>
      <c r="L135" s="109">
        <v>0.5</v>
      </c>
      <c r="M135" s="35"/>
      <c r="N135" s="35"/>
      <c r="O135" s="35"/>
      <c r="P135" s="35"/>
      <c r="Q135" s="35"/>
      <c r="R135" s="35"/>
      <c r="S135" s="3"/>
      <c r="T135" s="3"/>
      <c r="U135" s="3"/>
      <c r="V135" s="3"/>
      <c r="W135" s="3"/>
    </row>
    <row r="136" spans="1:23" x14ac:dyDescent="0.25">
      <c r="A136" s="9"/>
      <c r="B136" s="107" t="s">
        <v>224</v>
      </c>
      <c r="C136" s="108">
        <v>0.25</v>
      </c>
      <c r="D136" s="23"/>
      <c r="E136" s="107" t="s">
        <v>224</v>
      </c>
      <c r="F136" s="109">
        <v>0.25</v>
      </c>
      <c r="G136" s="109">
        <v>0.5</v>
      </c>
      <c r="H136" s="109">
        <v>0.75</v>
      </c>
      <c r="I136" s="159" t="s">
        <v>224</v>
      </c>
      <c r="J136" s="160"/>
      <c r="K136" s="109">
        <v>0.5</v>
      </c>
      <c r="L136" s="109">
        <v>0.5</v>
      </c>
      <c r="M136" s="35"/>
      <c r="N136" s="35"/>
      <c r="O136" s="35"/>
      <c r="P136" s="35"/>
      <c r="Q136" s="35"/>
      <c r="R136" s="35"/>
      <c r="S136" s="3"/>
      <c r="T136" s="3"/>
      <c r="U136" s="3"/>
      <c r="V136" s="3"/>
      <c r="W136" s="3"/>
    </row>
    <row r="137" spans="1:23" x14ac:dyDescent="0.25">
      <c r="A137" s="9"/>
      <c r="B137" s="107" t="s">
        <v>225</v>
      </c>
      <c r="C137" s="108">
        <v>0.25</v>
      </c>
      <c r="D137" s="23"/>
      <c r="E137" s="107" t="s">
        <v>225</v>
      </c>
      <c r="F137" s="109">
        <v>0.25</v>
      </c>
      <c r="G137" s="109">
        <v>0.5</v>
      </c>
      <c r="H137" s="109">
        <v>0.75</v>
      </c>
      <c r="I137" s="159" t="s">
        <v>225</v>
      </c>
      <c r="J137" s="160"/>
      <c r="K137" s="109">
        <v>0.5</v>
      </c>
      <c r="L137" s="109">
        <v>0.5</v>
      </c>
      <c r="M137" s="35"/>
      <c r="N137" s="35"/>
      <c r="O137" s="35"/>
      <c r="P137" s="35"/>
      <c r="Q137" s="35"/>
      <c r="R137" s="35"/>
      <c r="S137" s="3"/>
      <c r="T137" s="3"/>
      <c r="U137" s="3"/>
      <c r="V137" s="3"/>
      <c r="W137" s="3"/>
    </row>
    <row r="138" spans="1:23" x14ac:dyDescent="0.25">
      <c r="A138" s="9"/>
      <c r="B138" s="107" t="s">
        <v>226</v>
      </c>
      <c r="C138" s="108">
        <v>0.5</v>
      </c>
      <c r="D138" s="23"/>
      <c r="E138" s="107" t="s">
        <v>226</v>
      </c>
      <c r="F138" s="109">
        <v>0.25</v>
      </c>
      <c r="G138" s="109">
        <v>0.5</v>
      </c>
      <c r="H138" s="109">
        <v>0.75</v>
      </c>
      <c r="I138" s="159" t="s">
        <v>226</v>
      </c>
      <c r="J138" s="160"/>
      <c r="K138" s="109">
        <v>1</v>
      </c>
      <c r="L138" s="109">
        <v>0.5</v>
      </c>
      <c r="M138" s="35"/>
      <c r="N138" s="35"/>
      <c r="O138" s="35"/>
      <c r="P138" s="35"/>
      <c r="Q138" s="35"/>
      <c r="R138" s="35"/>
      <c r="S138" s="3"/>
      <c r="T138" s="3"/>
      <c r="U138" s="3"/>
      <c r="V138" s="3"/>
      <c r="W138" s="3"/>
    </row>
    <row r="139" spans="1:23" x14ac:dyDescent="0.25">
      <c r="A139" s="9"/>
      <c r="B139" s="107" t="s">
        <v>227</v>
      </c>
      <c r="C139" s="108">
        <v>0.5</v>
      </c>
      <c r="D139" s="23"/>
      <c r="E139" s="107" t="s">
        <v>227</v>
      </c>
      <c r="F139" s="109">
        <v>0.25</v>
      </c>
      <c r="G139" s="109">
        <v>0.5</v>
      </c>
      <c r="H139" s="109">
        <v>0.75</v>
      </c>
      <c r="I139" s="159" t="s">
        <v>227</v>
      </c>
      <c r="J139" s="160"/>
      <c r="K139" s="109">
        <v>1</v>
      </c>
      <c r="L139" s="109">
        <v>0.5</v>
      </c>
      <c r="M139" s="35"/>
      <c r="N139" s="35"/>
      <c r="O139" s="35"/>
      <c r="P139" s="35"/>
      <c r="Q139" s="35"/>
      <c r="R139" s="35"/>
      <c r="S139" s="3"/>
      <c r="T139" s="3"/>
      <c r="U139" s="3"/>
      <c r="V139" s="3"/>
      <c r="W139" s="3"/>
    </row>
    <row r="140" spans="1:23" x14ac:dyDescent="0.25">
      <c r="A140" s="9"/>
      <c r="B140" s="107" t="s">
        <v>228</v>
      </c>
      <c r="C140" s="108">
        <v>0.5</v>
      </c>
      <c r="D140" s="23"/>
      <c r="E140" s="107" t="s">
        <v>228</v>
      </c>
      <c r="F140" s="109">
        <v>0.25</v>
      </c>
      <c r="G140" s="109">
        <v>0.5</v>
      </c>
      <c r="H140" s="109">
        <v>0.75</v>
      </c>
      <c r="I140" s="159" t="s">
        <v>228</v>
      </c>
      <c r="J140" s="160"/>
      <c r="K140" s="109">
        <v>1</v>
      </c>
      <c r="L140" s="109">
        <v>0.5</v>
      </c>
      <c r="M140" s="35"/>
      <c r="N140" s="35"/>
      <c r="O140" s="35"/>
      <c r="P140" s="35"/>
      <c r="Q140" s="35"/>
      <c r="R140" s="35"/>
      <c r="S140" s="3"/>
      <c r="T140" s="3"/>
      <c r="U140" s="3"/>
      <c r="V140" s="3"/>
      <c r="W140" s="3"/>
    </row>
    <row r="141" spans="1:23" x14ac:dyDescent="0.25">
      <c r="A141" s="9"/>
      <c r="B141" s="107" t="s">
        <v>3</v>
      </c>
      <c r="C141" s="108">
        <v>0.75</v>
      </c>
      <c r="D141" s="23"/>
      <c r="E141" s="107" t="s">
        <v>3</v>
      </c>
      <c r="F141" s="109">
        <v>0.5</v>
      </c>
      <c r="G141" s="109">
        <v>0.75</v>
      </c>
      <c r="H141" s="109">
        <v>1</v>
      </c>
      <c r="I141" s="159" t="s">
        <v>3</v>
      </c>
      <c r="J141" s="160"/>
      <c r="K141" s="109">
        <v>1</v>
      </c>
      <c r="L141" s="109">
        <v>0.5</v>
      </c>
      <c r="M141" s="35"/>
      <c r="N141" s="35"/>
      <c r="O141" s="35"/>
      <c r="P141" s="35"/>
      <c r="Q141" s="35"/>
      <c r="R141" s="35"/>
      <c r="S141" s="3"/>
      <c r="T141" s="3"/>
      <c r="U141" s="3"/>
      <c r="V141" s="3"/>
      <c r="W141" s="3"/>
    </row>
    <row r="142" spans="1:23" x14ac:dyDescent="0.25">
      <c r="A142" s="9"/>
      <c r="B142" s="107" t="s">
        <v>229</v>
      </c>
      <c r="C142" s="108">
        <v>0.75</v>
      </c>
      <c r="D142" s="23"/>
      <c r="E142" s="107" t="s">
        <v>229</v>
      </c>
      <c r="F142" s="109">
        <v>0.25</v>
      </c>
      <c r="G142" s="109">
        <v>0.5</v>
      </c>
      <c r="H142" s="109">
        <v>0.75</v>
      </c>
      <c r="I142" s="159" t="s">
        <v>229</v>
      </c>
      <c r="J142" s="160"/>
      <c r="K142" s="109">
        <v>1</v>
      </c>
      <c r="L142" s="109">
        <v>0.5</v>
      </c>
      <c r="M142" s="35"/>
      <c r="N142" s="35"/>
      <c r="O142" s="35"/>
      <c r="P142" s="35"/>
      <c r="Q142" s="35"/>
      <c r="R142" s="35"/>
      <c r="S142" s="3"/>
      <c r="T142" s="3"/>
      <c r="U142" s="3"/>
      <c r="V142" s="3"/>
      <c r="W142" s="3"/>
    </row>
    <row r="143" spans="1:23" x14ac:dyDescent="0.25">
      <c r="A143" s="9"/>
      <c r="B143" s="107" t="s">
        <v>230</v>
      </c>
      <c r="C143" s="108">
        <v>0.75</v>
      </c>
      <c r="D143" s="23"/>
      <c r="E143" s="107" t="s">
        <v>230</v>
      </c>
      <c r="F143" s="109">
        <v>0.25</v>
      </c>
      <c r="G143" s="109">
        <v>0.5</v>
      </c>
      <c r="H143" s="109">
        <v>0.75</v>
      </c>
      <c r="I143" s="159" t="s">
        <v>230</v>
      </c>
      <c r="J143" s="160"/>
      <c r="K143" s="109">
        <v>1</v>
      </c>
      <c r="L143" s="109">
        <v>0.5</v>
      </c>
      <c r="M143" s="35"/>
      <c r="N143" s="35"/>
      <c r="O143" s="35"/>
      <c r="P143" s="35"/>
      <c r="Q143" s="35"/>
      <c r="R143" s="35"/>
      <c r="S143" s="3"/>
      <c r="T143" s="3"/>
      <c r="U143" s="3"/>
      <c r="V143" s="3"/>
      <c r="W143" s="3"/>
    </row>
    <row r="144" spans="1:23" x14ac:dyDescent="0.25">
      <c r="A144" s="9"/>
      <c r="B144" s="110" t="s">
        <v>233</v>
      </c>
      <c r="C144" s="108">
        <v>0.5</v>
      </c>
      <c r="D144" s="23"/>
      <c r="E144" s="110" t="s">
        <v>233</v>
      </c>
      <c r="F144" s="108">
        <v>0</v>
      </c>
      <c r="G144" s="108">
        <v>0</v>
      </c>
      <c r="H144" s="108">
        <v>0</v>
      </c>
      <c r="I144" s="169" t="s">
        <v>233</v>
      </c>
      <c r="J144" s="170"/>
      <c r="K144" s="108">
        <v>0</v>
      </c>
      <c r="L144" s="108">
        <v>0</v>
      </c>
      <c r="M144" s="35"/>
      <c r="N144" s="35"/>
      <c r="O144" s="35"/>
      <c r="P144" s="35"/>
      <c r="Q144" s="35"/>
      <c r="R144" s="35"/>
      <c r="S144" s="3"/>
      <c r="T144" s="3"/>
      <c r="U144" s="3"/>
      <c r="V144" s="3"/>
      <c r="W144" s="3"/>
    </row>
    <row r="145" spans="1:23" x14ac:dyDescent="0.25">
      <c r="A145" s="9"/>
      <c r="B145" s="110" t="s">
        <v>234</v>
      </c>
      <c r="C145" s="108">
        <v>0.5</v>
      </c>
      <c r="D145" s="23"/>
      <c r="E145" s="110" t="s">
        <v>234</v>
      </c>
      <c r="F145" s="108">
        <v>0</v>
      </c>
      <c r="G145" s="108">
        <v>0</v>
      </c>
      <c r="H145" s="108">
        <v>0</v>
      </c>
      <c r="I145" s="169" t="s">
        <v>234</v>
      </c>
      <c r="J145" s="170"/>
      <c r="K145" s="108">
        <v>0</v>
      </c>
      <c r="L145" s="108">
        <v>0</v>
      </c>
      <c r="M145" s="35"/>
      <c r="N145" s="35"/>
      <c r="O145" s="35"/>
      <c r="P145" s="35"/>
      <c r="Q145" s="35"/>
      <c r="R145" s="35"/>
      <c r="S145" s="3"/>
      <c r="T145" s="3"/>
      <c r="U145" s="3"/>
      <c r="V145" s="3"/>
      <c r="W145" s="3"/>
    </row>
    <row r="146" spans="1:23" ht="15.75" thickBot="1" x14ac:dyDescent="0.3">
      <c r="A146" s="9"/>
      <c r="B146" s="119" t="s">
        <v>257</v>
      </c>
      <c r="C146" s="108">
        <v>0.5</v>
      </c>
      <c r="D146" s="23"/>
      <c r="E146" s="119" t="s">
        <v>257</v>
      </c>
      <c r="F146" s="108">
        <v>0</v>
      </c>
      <c r="G146" s="108">
        <v>0</v>
      </c>
      <c r="H146" s="108">
        <v>0</v>
      </c>
      <c r="I146" s="169" t="s">
        <v>257</v>
      </c>
      <c r="J146" s="170"/>
      <c r="K146" s="108">
        <v>0</v>
      </c>
      <c r="L146" s="108">
        <v>0</v>
      </c>
      <c r="M146" s="35"/>
      <c r="N146" s="35"/>
      <c r="O146" s="35"/>
      <c r="P146" s="35"/>
      <c r="Q146" s="35"/>
      <c r="R146" s="35"/>
      <c r="S146" s="3"/>
      <c r="T146" s="3"/>
      <c r="U146" s="3"/>
      <c r="V146" s="3"/>
      <c r="W146" s="3"/>
    </row>
    <row r="147" spans="1:23" x14ac:dyDescent="0.25">
      <c r="A147" s="9"/>
      <c r="B147" s="107">
        <v>0</v>
      </c>
      <c r="C147" s="108">
        <v>0</v>
      </c>
      <c r="D147" s="23"/>
      <c r="E147" s="108">
        <v>0</v>
      </c>
      <c r="F147" s="108">
        <v>0</v>
      </c>
      <c r="G147" s="108">
        <v>0</v>
      </c>
      <c r="H147" s="108">
        <v>0</v>
      </c>
      <c r="I147" s="169">
        <v>0</v>
      </c>
      <c r="J147" s="170"/>
      <c r="K147" s="108">
        <v>0</v>
      </c>
      <c r="L147" s="108">
        <v>0</v>
      </c>
      <c r="M147" s="35"/>
      <c r="N147" s="35"/>
      <c r="O147" s="35"/>
      <c r="P147" s="35"/>
      <c r="Q147" s="35"/>
      <c r="R147" s="35"/>
      <c r="S147" s="3"/>
      <c r="T147" s="3"/>
      <c r="U147" s="3"/>
      <c r="V147" s="3"/>
      <c r="W147" s="3"/>
    </row>
    <row r="148" spans="1:23" x14ac:dyDescent="0.25">
      <c r="A148" s="9"/>
      <c r="B148" s="107">
        <v>0</v>
      </c>
      <c r="C148" s="108">
        <v>0</v>
      </c>
      <c r="D148" s="23"/>
      <c r="E148" s="108">
        <v>0</v>
      </c>
      <c r="F148" s="108">
        <v>0</v>
      </c>
      <c r="G148" s="108">
        <v>0</v>
      </c>
      <c r="H148" s="108">
        <v>0</v>
      </c>
      <c r="I148" s="169">
        <v>0</v>
      </c>
      <c r="J148" s="170"/>
      <c r="K148" s="108">
        <v>0</v>
      </c>
      <c r="L148" s="108">
        <v>0</v>
      </c>
      <c r="M148" s="35"/>
      <c r="N148" s="35"/>
      <c r="O148" s="35"/>
      <c r="P148" s="35"/>
      <c r="Q148" s="35"/>
      <c r="R148" s="35"/>
      <c r="S148" s="3"/>
      <c r="T148" s="3"/>
      <c r="U148" s="3"/>
      <c r="V148" s="3"/>
      <c r="W148" s="3"/>
    </row>
    <row r="149" spans="1:23" x14ac:dyDescent="0.25">
      <c r="A149" s="9"/>
      <c r="B149" s="107">
        <v>0</v>
      </c>
      <c r="C149" s="108">
        <v>0</v>
      </c>
      <c r="D149" s="23"/>
      <c r="E149" s="108">
        <v>0</v>
      </c>
      <c r="F149" s="108">
        <v>0</v>
      </c>
      <c r="G149" s="108">
        <v>0</v>
      </c>
      <c r="H149" s="108">
        <v>0</v>
      </c>
      <c r="I149" s="169">
        <v>0</v>
      </c>
      <c r="J149" s="170"/>
      <c r="K149" s="108">
        <v>0</v>
      </c>
      <c r="L149" s="108">
        <v>0</v>
      </c>
      <c r="M149" s="35"/>
      <c r="N149" s="35"/>
      <c r="O149" s="35"/>
      <c r="P149" s="35"/>
      <c r="Q149" s="35"/>
      <c r="R149" s="35"/>
      <c r="S149" s="3"/>
      <c r="T149" s="3"/>
      <c r="U149" s="3"/>
      <c r="V149" s="3"/>
      <c r="W149" s="3"/>
    </row>
    <row r="150" spans="1:23" x14ac:dyDescent="0.25">
      <c r="A150" s="9"/>
      <c r="B150" s="107">
        <v>0</v>
      </c>
      <c r="C150" s="108">
        <v>0</v>
      </c>
      <c r="D150" s="23"/>
      <c r="E150" s="108">
        <v>0</v>
      </c>
      <c r="F150" s="108">
        <v>0</v>
      </c>
      <c r="G150" s="108">
        <v>0</v>
      </c>
      <c r="H150" s="108">
        <v>0</v>
      </c>
      <c r="I150" s="169">
        <v>0</v>
      </c>
      <c r="J150" s="170"/>
      <c r="K150" s="108">
        <v>0</v>
      </c>
      <c r="L150" s="108">
        <v>0</v>
      </c>
      <c r="M150" s="35"/>
      <c r="N150" s="35"/>
      <c r="O150" s="35"/>
      <c r="P150" s="35"/>
      <c r="Q150" s="35"/>
      <c r="R150" s="35"/>
      <c r="S150" s="3"/>
      <c r="T150" s="3"/>
      <c r="U150" s="3"/>
      <c r="V150" s="3"/>
      <c r="W150" s="3"/>
    </row>
    <row r="151" spans="1:23" x14ac:dyDescent="0.25">
      <c r="B151" s="110"/>
      <c r="C151" s="111"/>
      <c r="D151" s="3"/>
      <c r="E151" s="111"/>
      <c r="F151" s="111"/>
      <c r="G151" s="111"/>
      <c r="H151" s="111"/>
      <c r="I151" s="111"/>
      <c r="J151" s="111"/>
      <c r="K151" s="111"/>
      <c r="L151" s="111"/>
      <c r="M151" s="35"/>
      <c r="N151" s="35"/>
      <c r="O151" s="35"/>
      <c r="P151" s="35"/>
      <c r="Q151" s="35"/>
      <c r="R151" s="35"/>
      <c r="S151" s="3"/>
      <c r="T151" s="3"/>
      <c r="U151" s="3"/>
      <c r="V151" s="3"/>
      <c r="W151" s="3"/>
    </row>
    <row r="152" spans="1:23" x14ac:dyDescent="0.25">
      <c r="B152" s="3"/>
      <c r="C152" s="3"/>
      <c r="D152" s="3"/>
      <c r="E152" s="3"/>
      <c r="F152" s="35"/>
      <c r="G152" s="35"/>
      <c r="H152" s="35"/>
      <c r="I152" s="35"/>
      <c r="J152" s="35"/>
      <c r="K152" s="35"/>
      <c r="L152" s="35"/>
      <c r="M152" s="35"/>
      <c r="N152" s="35"/>
      <c r="O152" s="35"/>
      <c r="P152" s="35"/>
      <c r="Q152" s="35"/>
      <c r="R152" s="35"/>
      <c r="S152" s="3"/>
      <c r="T152" s="3"/>
      <c r="U152" s="3"/>
      <c r="V152" s="3"/>
      <c r="W152" s="3"/>
    </row>
    <row r="153" spans="1:23" x14ac:dyDescent="0.25">
      <c r="A153" s="9"/>
      <c r="B153" s="80" t="s">
        <v>151</v>
      </c>
      <c r="C153" s="23"/>
      <c r="D153" s="23"/>
      <c r="E153" s="80" t="s">
        <v>151</v>
      </c>
      <c r="F153" s="81"/>
      <c r="G153" s="81"/>
      <c r="H153" s="81"/>
      <c r="I153" s="147" t="s">
        <v>151</v>
      </c>
      <c r="J153" s="147"/>
      <c r="K153" s="81"/>
      <c r="L153" s="81"/>
      <c r="M153" s="35"/>
      <c r="N153" s="35"/>
      <c r="O153" s="35"/>
      <c r="P153" s="35"/>
      <c r="Q153" s="35"/>
      <c r="R153" s="35"/>
      <c r="S153" s="3"/>
      <c r="T153" s="3"/>
      <c r="U153" s="3"/>
      <c r="V153" s="3"/>
      <c r="W153" s="3"/>
    </row>
    <row r="154" spans="1:23" x14ac:dyDescent="0.25">
      <c r="A154" s="19" t="s">
        <v>116</v>
      </c>
      <c r="B154" s="82" t="s">
        <v>110</v>
      </c>
      <c r="C154" s="82" t="s">
        <v>73</v>
      </c>
      <c r="D154" s="113" t="s">
        <v>116</v>
      </c>
      <c r="E154" s="82" t="s">
        <v>112</v>
      </c>
      <c r="F154" s="82" t="s">
        <v>113</v>
      </c>
      <c r="G154" s="82" t="s">
        <v>114</v>
      </c>
      <c r="H154" s="82" t="s">
        <v>115</v>
      </c>
      <c r="I154" s="148" t="s">
        <v>117</v>
      </c>
      <c r="J154" s="148"/>
      <c r="K154" s="85" t="s">
        <v>119</v>
      </c>
      <c r="L154" s="85" t="s">
        <v>120</v>
      </c>
      <c r="M154" s="35"/>
      <c r="N154" s="35"/>
      <c r="O154" s="35"/>
      <c r="P154" s="35"/>
      <c r="Q154" s="35"/>
      <c r="R154" s="35"/>
      <c r="S154" s="3"/>
      <c r="T154" s="3"/>
      <c r="U154" s="3"/>
      <c r="V154" s="3"/>
      <c r="W154" s="3"/>
    </row>
    <row r="155" spans="1:23" ht="15.75" thickBot="1" x14ac:dyDescent="0.3">
      <c r="A155" s="9"/>
      <c r="B155" s="119" t="s">
        <v>152</v>
      </c>
      <c r="C155" s="115">
        <v>2</v>
      </c>
      <c r="D155" s="23"/>
      <c r="E155" s="119" t="s">
        <v>152</v>
      </c>
      <c r="F155" s="115">
        <v>0.25</v>
      </c>
      <c r="G155" s="115">
        <v>0.5</v>
      </c>
      <c r="H155" s="115">
        <v>1</v>
      </c>
      <c r="I155" s="154" t="s">
        <v>152</v>
      </c>
      <c r="J155" s="155"/>
      <c r="K155" s="120">
        <v>0.25</v>
      </c>
      <c r="L155" s="108">
        <v>0</v>
      </c>
      <c r="M155" s="35"/>
      <c r="N155" s="35"/>
      <c r="O155" s="35"/>
      <c r="P155" s="35"/>
      <c r="Q155" s="35"/>
      <c r="R155" s="35"/>
      <c r="S155" s="3"/>
      <c r="T155" s="3"/>
      <c r="U155" s="3"/>
      <c r="V155" s="3"/>
      <c r="W155" s="3"/>
    </row>
    <row r="156" spans="1:23" ht="15.75" thickBot="1" x14ac:dyDescent="0.3">
      <c r="A156" s="9"/>
      <c r="B156" s="119" t="s">
        <v>246</v>
      </c>
      <c r="C156" s="115">
        <v>0.5</v>
      </c>
      <c r="D156" s="23"/>
      <c r="E156" s="119" t="s">
        <v>246</v>
      </c>
      <c r="F156" s="115">
        <v>0.25</v>
      </c>
      <c r="G156" s="115">
        <v>0.5</v>
      </c>
      <c r="H156" s="115">
        <v>0.75</v>
      </c>
      <c r="I156" s="152" t="s">
        <v>246</v>
      </c>
      <c r="J156" s="153"/>
      <c r="K156" s="120">
        <v>0.25</v>
      </c>
      <c r="L156" s="108">
        <v>0</v>
      </c>
      <c r="M156" s="35"/>
      <c r="N156" s="35"/>
      <c r="O156" s="35"/>
      <c r="P156" s="35"/>
      <c r="Q156" s="35"/>
      <c r="R156" s="35"/>
      <c r="S156" s="3"/>
      <c r="T156" s="3"/>
      <c r="U156" s="3"/>
      <c r="V156" s="3"/>
      <c r="W156" s="3"/>
    </row>
    <row r="157" spans="1:23" ht="15" customHeight="1" thickBot="1" x14ac:dyDescent="0.3">
      <c r="A157" s="9"/>
      <c r="B157" s="119" t="s">
        <v>247</v>
      </c>
      <c r="C157" s="115">
        <v>0.5</v>
      </c>
      <c r="D157" s="23"/>
      <c r="E157" s="119" t="s">
        <v>247</v>
      </c>
      <c r="F157" s="115">
        <v>0.25</v>
      </c>
      <c r="G157" s="115">
        <v>0.5</v>
      </c>
      <c r="H157" s="115">
        <v>0.75</v>
      </c>
      <c r="I157" s="152" t="s">
        <v>247</v>
      </c>
      <c r="J157" s="153"/>
      <c r="K157" s="120">
        <v>0.25</v>
      </c>
      <c r="L157" s="108">
        <v>0</v>
      </c>
      <c r="M157" s="35"/>
      <c r="N157" s="35"/>
      <c r="O157" s="35"/>
      <c r="P157" s="35"/>
      <c r="Q157" s="35"/>
      <c r="R157" s="35"/>
      <c r="S157" s="3"/>
      <c r="T157" s="3"/>
      <c r="U157" s="3"/>
      <c r="V157" s="3"/>
      <c r="W157" s="3"/>
    </row>
    <row r="158" spans="1:23" ht="15" customHeight="1" thickBot="1" x14ac:dyDescent="0.3">
      <c r="A158" s="9"/>
      <c r="B158" s="119" t="s">
        <v>248</v>
      </c>
      <c r="C158" s="115">
        <v>0.5</v>
      </c>
      <c r="D158" s="23"/>
      <c r="E158" s="119" t="s">
        <v>248</v>
      </c>
      <c r="F158" s="115">
        <v>0.25</v>
      </c>
      <c r="G158" s="115">
        <v>0.5</v>
      </c>
      <c r="H158" s="115">
        <v>0.75</v>
      </c>
      <c r="I158" s="152" t="s">
        <v>248</v>
      </c>
      <c r="J158" s="153"/>
      <c r="K158" s="120">
        <v>0.25</v>
      </c>
      <c r="L158" s="108">
        <v>0</v>
      </c>
      <c r="M158" s="35"/>
      <c r="N158" s="35"/>
      <c r="O158" s="35"/>
      <c r="P158" s="35"/>
      <c r="Q158" s="35"/>
      <c r="R158" s="35"/>
      <c r="S158" s="3"/>
      <c r="T158" s="3"/>
      <c r="U158" s="3"/>
      <c r="V158" s="3"/>
      <c r="W158" s="3"/>
    </row>
    <row r="159" spans="1:23" ht="15" customHeight="1" thickBot="1" x14ac:dyDescent="0.3">
      <c r="A159" s="9"/>
      <c r="B159" s="119" t="s">
        <v>153</v>
      </c>
      <c r="C159" s="115">
        <v>2</v>
      </c>
      <c r="D159" s="23"/>
      <c r="E159" s="119" t="s">
        <v>153</v>
      </c>
      <c r="F159" s="115">
        <v>0.5</v>
      </c>
      <c r="G159" s="115">
        <v>0.75</v>
      </c>
      <c r="H159" s="115">
        <v>1</v>
      </c>
      <c r="I159" s="152" t="s">
        <v>153</v>
      </c>
      <c r="J159" s="153"/>
      <c r="K159" s="120">
        <v>0.25</v>
      </c>
      <c r="L159" s="108">
        <v>0</v>
      </c>
      <c r="M159" s="35"/>
      <c r="N159" s="35"/>
      <c r="O159" s="35"/>
      <c r="P159" s="35"/>
      <c r="Q159" s="35"/>
      <c r="R159" s="35"/>
      <c r="S159" s="3"/>
      <c r="T159" s="3"/>
      <c r="U159" s="3"/>
      <c r="V159" s="3"/>
      <c r="W159" s="3"/>
    </row>
    <row r="160" spans="1:23" ht="15.75" thickBot="1" x14ac:dyDescent="0.3">
      <c r="A160" s="9"/>
      <c r="B160" s="119" t="s">
        <v>5</v>
      </c>
      <c r="C160" s="115">
        <v>0.5</v>
      </c>
      <c r="D160" s="23"/>
      <c r="E160" s="119" t="s">
        <v>5</v>
      </c>
      <c r="F160" s="115">
        <v>0.25</v>
      </c>
      <c r="G160" s="115">
        <v>0.5</v>
      </c>
      <c r="H160" s="115">
        <v>0.75</v>
      </c>
      <c r="I160" s="152" t="s">
        <v>5</v>
      </c>
      <c r="J160" s="153"/>
      <c r="K160" s="120">
        <v>0.25</v>
      </c>
      <c r="L160" s="108">
        <v>0</v>
      </c>
      <c r="M160" s="35"/>
      <c r="N160" s="35"/>
      <c r="O160" s="35"/>
      <c r="P160" s="35"/>
      <c r="Q160" s="35"/>
      <c r="R160" s="35"/>
      <c r="S160" s="3"/>
      <c r="T160" s="3"/>
      <c r="U160" s="3"/>
      <c r="V160" s="3"/>
      <c r="W160" s="3"/>
    </row>
    <row r="161" spans="1:23" ht="15.75" thickBot="1" x14ac:dyDescent="0.3">
      <c r="A161" s="9"/>
      <c r="B161" s="119" t="s">
        <v>256</v>
      </c>
      <c r="C161" s="115">
        <v>0.5</v>
      </c>
      <c r="D161" s="23"/>
      <c r="E161" s="119" t="s">
        <v>256</v>
      </c>
      <c r="F161" s="108">
        <v>0</v>
      </c>
      <c r="G161" s="108">
        <v>0</v>
      </c>
      <c r="H161" s="108">
        <v>0</v>
      </c>
      <c r="I161" s="152" t="s">
        <v>256</v>
      </c>
      <c r="J161" s="153"/>
      <c r="K161" s="108">
        <v>0</v>
      </c>
      <c r="L161" s="108">
        <v>0</v>
      </c>
      <c r="M161" s="35"/>
      <c r="N161" s="35"/>
      <c r="O161" s="35"/>
      <c r="P161" s="35"/>
      <c r="Q161" s="35"/>
      <c r="R161" s="35"/>
      <c r="S161" s="3"/>
      <c r="T161" s="3"/>
      <c r="U161" s="3"/>
      <c r="V161" s="3"/>
      <c r="W161" s="3"/>
    </row>
    <row r="162" spans="1:23" ht="15.75" thickBot="1" x14ac:dyDescent="0.3">
      <c r="A162" s="9"/>
      <c r="B162" s="119" t="s">
        <v>245</v>
      </c>
      <c r="C162" s="115">
        <v>0.5</v>
      </c>
      <c r="D162" s="23"/>
      <c r="E162" s="119" t="s">
        <v>245</v>
      </c>
      <c r="F162" s="115">
        <v>0.25</v>
      </c>
      <c r="G162" s="115">
        <v>0.5</v>
      </c>
      <c r="H162" s="115">
        <v>0.75</v>
      </c>
      <c r="I162" s="152" t="s">
        <v>245</v>
      </c>
      <c r="J162" s="153"/>
      <c r="K162" s="120">
        <v>0.25</v>
      </c>
      <c r="L162" s="108">
        <v>0</v>
      </c>
      <c r="M162" s="35"/>
      <c r="N162" s="35"/>
      <c r="O162" s="35"/>
      <c r="P162" s="35"/>
      <c r="Q162" s="35"/>
      <c r="R162" s="35"/>
      <c r="S162" s="3"/>
      <c r="T162" s="3"/>
      <c r="U162" s="3"/>
      <c r="V162" s="3"/>
      <c r="W162" s="3"/>
    </row>
    <row r="163" spans="1:23" ht="15.75" thickBot="1" x14ac:dyDescent="0.3">
      <c r="A163" s="9"/>
      <c r="B163" s="119" t="s">
        <v>245</v>
      </c>
      <c r="C163" s="115">
        <v>0.5</v>
      </c>
      <c r="D163" s="23"/>
      <c r="E163" s="119" t="s">
        <v>245</v>
      </c>
      <c r="F163" s="115">
        <v>0.25</v>
      </c>
      <c r="G163" s="115">
        <v>0.5</v>
      </c>
      <c r="H163" s="115">
        <v>0.75</v>
      </c>
      <c r="I163" s="152" t="s">
        <v>245</v>
      </c>
      <c r="J163" s="153"/>
      <c r="K163" s="120">
        <v>0.25</v>
      </c>
      <c r="L163" s="108">
        <v>0</v>
      </c>
      <c r="M163" s="35"/>
      <c r="N163" s="35"/>
      <c r="O163" s="35"/>
      <c r="P163" s="35"/>
      <c r="Q163" s="35"/>
      <c r="R163" s="35"/>
      <c r="S163" s="3"/>
      <c r="T163" s="3"/>
      <c r="U163" s="3"/>
      <c r="V163" s="3"/>
      <c r="W163" s="3"/>
    </row>
    <row r="164" spans="1:23" ht="15.75" thickBot="1" x14ac:dyDescent="0.3">
      <c r="A164" s="9"/>
      <c r="B164" s="119" t="s">
        <v>245</v>
      </c>
      <c r="C164" s="115">
        <v>0.5</v>
      </c>
      <c r="D164" s="23"/>
      <c r="E164" s="119" t="s">
        <v>245</v>
      </c>
      <c r="F164" s="115">
        <v>0.25</v>
      </c>
      <c r="G164" s="115">
        <v>0.5</v>
      </c>
      <c r="H164" s="115">
        <v>0.75</v>
      </c>
      <c r="I164" s="152" t="s">
        <v>245</v>
      </c>
      <c r="J164" s="153"/>
      <c r="K164" s="120">
        <v>0.25</v>
      </c>
      <c r="L164" s="108">
        <v>0</v>
      </c>
      <c r="M164" s="35"/>
      <c r="N164" s="35"/>
      <c r="O164" s="35"/>
      <c r="P164" s="35"/>
      <c r="Q164" s="35"/>
      <c r="R164" s="35"/>
      <c r="S164" s="3"/>
      <c r="T164" s="3"/>
      <c r="U164" s="3"/>
      <c r="V164" s="3"/>
      <c r="W164" s="3"/>
    </row>
    <row r="165" spans="1:23" ht="15.75" thickBot="1" x14ac:dyDescent="0.3">
      <c r="A165" s="9"/>
      <c r="B165" s="119" t="s">
        <v>245</v>
      </c>
      <c r="C165" s="115">
        <v>0.5</v>
      </c>
      <c r="D165" s="23"/>
      <c r="E165" s="119" t="s">
        <v>245</v>
      </c>
      <c r="F165" s="115">
        <v>0.25</v>
      </c>
      <c r="G165" s="115">
        <v>0.5</v>
      </c>
      <c r="H165" s="115">
        <v>0.75</v>
      </c>
      <c r="I165" s="152" t="s">
        <v>245</v>
      </c>
      <c r="J165" s="153"/>
      <c r="K165" s="120">
        <v>0.25</v>
      </c>
      <c r="L165" s="108">
        <v>0</v>
      </c>
      <c r="M165" s="35"/>
      <c r="N165" s="35"/>
      <c r="O165" s="35"/>
      <c r="P165" s="35"/>
      <c r="Q165" s="35"/>
      <c r="R165" s="35"/>
      <c r="S165" s="3"/>
      <c r="T165" s="3"/>
      <c r="U165" s="3"/>
      <c r="V165" s="3"/>
      <c r="W165" s="3"/>
    </row>
    <row r="166" spans="1:23" ht="15.75" thickBot="1" x14ac:dyDescent="0.3">
      <c r="A166" s="9"/>
      <c r="B166" s="119" t="s">
        <v>245</v>
      </c>
      <c r="C166" s="115">
        <v>0.5</v>
      </c>
      <c r="D166" s="23"/>
      <c r="E166" s="119" t="s">
        <v>245</v>
      </c>
      <c r="F166" s="115">
        <v>0.25</v>
      </c>
      <c r="G166" s="115">
        <v>0.5</v>
      </c>
      <c r="H166" s="115">
        <v>0.75</v>
      </c>
      <c r="I166" s="152" t="s">
        <v>245</v>
      </c>
      <c r="J166" s="153"/>
      <c r="K166" s="120">
        <v>0.25</v>
      </c>
      <c r="L166" s="108">
        <v>0</v>
      </c>
      <c r="M166" s="35"/>
      <c r="N166" s="35"/>
      <c r="O166" s="35"/>
      <c r="P166" s="35"/>
      <c r="Q166" s="35"/>
      <c r="R166" s="35"/>
      <c r="S166" s="3"/>
      <c r="T166" s="3"/>
      <c r="U166" s="3"/>
      <c r="V166" s="3"/>
      <c r="W166" s="3"/>
    </row>
    <row r="167" spans="1:23" ht="15.75" thickBot="1" x14ac:dyDescent="0.3">
      <c r="A167" s="9"/>
      <c r="B167" s="119" t="s">
        <v>245</v>
      </c>
      <c r="C167" s="115">
        <v>0.5</v>
      </c>
      <c r="D167" s="23"/>
      <c r="E167" s="119" t="s">
        <v>245</v>
      </c>
      <c r="F167" s="115">
        <v>0.25</v>
      </c>
      <c r="G167" s="115">
        <v>0.5</v>
      </c>
      <c r="H167" s="115">
        <v>0.75</v>
      </c>
      <c r="I167" s="152" t="s">
        <v>245</v>
      </c>
      <c r="J167" s="153"/>
      <c r="K167" s="120">
        <v>0.25</v>
      </c>
      <c r="L167" s="108">
        <v>0</v>
      </c>
      <c r="M167" s="35"/>
      <c r="N167" s="35"/>
      <c r="O167" s="35"/>
      <c r="P167" s="35"/>
      <c r="Q167" s="35"/>
      <c r="R167" s="35"/>
      <c r="S167" s="3"/>
      <c r="T167" s="3"/>
      <c r="U167" s="3"/>
      <c r="V167" s="3"/>
      <c r="W167" s="3"/>
    </row>
    <row r="168" spans="1:23" ht="15.75" thickBot="1" x14ac:dyDescent="0.3">
      <c r="A168" s="9"/>
      <c r="B168" s="119">
        <v>0</v>
      </c>
      <c r="C168" s="115">
        <v>0</v>
      </c>
      <c r="D168" s="23"/>
      <c r="E168" s="119">
        <v>0</v>
      </c>
      <c r="F168" s="115">
        <v>0</v>
      </c>
      <c r="G168" s="115">
        <v>0</v>
      </c>
      <c r="H168" s="115">
        <v>0</v>
      </c>
      <c r="I168" s="152">
        <v>0</v>
      </c>
      <c r="J168" s="153"/>
      <c r="K168" s="120">
        <v>0</v>
      </c>
      <c r="L168" s="108">
        <v>0</v>
      </c>
      <c r="M168" s="35"/>
      <c r="N168" s="35"/>
      <c r="O168" s="35"/>
      <c r="P168" s="35"/>
      <c r="Q168" s="35"/>
      <c r="R168" s="35"/>
      <c r="S168" s="3"/>
      <c r="T168" s="3"/>
      <c r="U168" s="3"/>
      <c r="V168" s="3"/>
      <c r="W168" s="3"/>
    </row>
    <row r="169" spans="1:23" ht="15.75" thickBot="1" x14ac:dyDescent="0.3">
      <c r="A169" s="9"/>
      <c r="B169" s="119">
        <v>0</v>
      </c>
      <c r="C169" s="115">
        <v>0</v>
      </c>
      <c r="D169" s="23"/>
      <c r="E169" s="115">
        <v>0</v>
      </c>
      <c r="F169" s="115">
        <v>0</v>
      </c>
      <c r="G169" s="115">
        <v>0</v>
      </c>
      <c r="H169" s="115">
        <v>0</v>
      </c>
      <c r="I169" s="150">
        <v>0</v>
      </c>
      <c r="J169" s="151"/>
      <c r="K169" s="115">
        <v>0</v>
      </c>
      <c r="L169" s="108">
        <v>0</v>
      </c>
      <c r="M169" s="35"/>
      <c r="N169" s="35"/>
      <c r="O169" s="35"/>
      <c r="P169" s="35"/>
      <c r="Q169" s="35"/>
      <c r="R169" s="35"/>
      <c r="S169" s="3"/>
      <c r="T169" s="3"/>
      <c r="U169" s="3"/>
      <c r="V169" s="3"/>
      <c r="W169" s="3"/>
    </row>
    <row r="170" spans="1:23" ht="15.75" thickBot="1" x14ac:dyDescent="0.3">
      <c r="A170" s="9"/>
      <c r="B170" s="119">
        <v>0</v>
      </c>
      <c r="C170" s="115">
        <v>0</v>
      </c>
      <c r="D170" s="23"/>
      <c r="E170" s="115">
        <v>0</v>
      </c>
      <c r="F170" s="115">
        <v>0</v>
      </c>
      <c r="G170" s="115">
        <v>0</v>
      </c>
      <c r="H170" s="115">
        <v>0</v>
      </c>
      <c r="I170" s="150">
        <v>0</v>
      </c>
      <c r="J170" s="151"/>
      <c r="K170" s="115">
        <v>0</v>
      </c>
      <c r="L170" s="108">
        <v>0</v>
      </c>
      <c r="M170" s="35"/>
      <c r="N170" s="35"/>
      <c r="O170" s="35"/>
      <c r="P170" s="35"/>
      <c r="Q170" s="35"/>
      <c r="R170" s="35"/>
      <c r="S170" s="3"/>
      <c r="T170" s="3"/>
      <c r="U170" s="3"/>
      <c r="V170" s="3"/>
      <c r="W170" s="3"/>
    </row>
    <row r="171" spans="1:23" ht="15.75" thickBot="1" x14ac:dyDescent="0.3">
      <c r="A171" s="9"/>
      <c r="B171" s="119">
        <v>0</v>
      </c>
      <c r="C171" s="115">
        <v>0</v>
      </c>
      <c r="D171" s="23"/>
      <c r="E171" s="115">
        <v>0</v>
      </c>
      <c r="F171" s="115">
        <v>0</v>
      </c>
      <c r="G171" s="115">
        <v>0</v>
      </c>
      <c r="H171" s="115">
        <v>0</v>
      </c>
      <c r="I171" s="150">
        <v>0</v>
      </c>
      <c r="J171" s="151"/>
      <c r="K171" s="115">
        <v>0</v>
      </c>
      <c r="L171" s="108">
        <v>0</v>
      </c>
      <c r="M171" s="35"/>
      <c r="N171" s="35"/>
      <c r="O171" s="35"/>
      <c r="P171" s="35"/>
      <c r="Q171" s="35"/>
      <c r="R171" s="35"/>
      <c r="S171" s="3"/>
      <c r="T171" s="3"/>
      <c r="U171" s="3"/>
      <c r="V171" s="3"/>
      <c r="W171" s="3"/>
    </row>
    <row r="172" spans="1:23" ht="15.75" thickBot="1" x14ac:dyDescent="0.3">
      <c r="A172" s="9"/>
      <c r="B172" s="119">
        <v>0</v>
      </c>
      <c r="C172" s="115">
        <v>0</v>
      </c>
      <c r="D172" s="23"/>
      <c r="E172" s="115">
        <v>0</v>
      </c>
      <c r="F172" s="115">
        <v>0</v>
      </c>
      <c r="G172" s="115">
        <v>0</v>
      </c>
      <c r="H172" s="115">
        <v>0</v>
      </c>
      <c r="I172" s="150">
        <v>0</v>
      </c>
      <c r="J172" s="151"/>
      <c r="K172" s="115">
        <v>0</v>
      </c>
      <c r="L172" s="108">
        <v>0</v>
      </c>
      <c r="M172" s="35"/>
      <c r="N172" s="35"/>
      <c r="O172" s="35"/>
      <c r="P172" s="35"/>
      <c r="Q172" s="35"/>
      <c r="R172" s="35"/>
      <c r="S172" s="3"/>
      <c r="T172" s="3"/>
      <c r="U172" s="3"/>
      <c r="V172" s="3"/>
      <c r="W172" s="3"/>
    </row>
    <row r="173" spans="1:23" ht="15.75" thickBot="1" x14ac:dyDescent="0.3">
      <c r="A173" s="9"/>
      <c r="B173" s="119">
        <v>0</v>
      </c>
      <c r="C173" s="115">
        <v>0</v>
      </c>
      <c r="D173" s="23"/>
      <c r="E173" s="115">
        <v>0</v>
      </c>
      <c r="F173" s="115">
        <v>0</v>
      </c>
      <c r="G173" s="115">
        <v>0</v>
      </c>
      <c r="H173" s="115">
        <v>0</v>
      </c>
      <c r="I173" s="150">
        <v>0</v>
      </c>
      <c r="J173" s="151"/>
      <c r="K173" s="115">
        <v>0</v>
      </c>
      <c r="L173" s="108">
        <v>0</v>
      </c>
      <c r="M173" s="35"/>
      <c r="N173" s="35"/>
      <c r="O173" s="35"/>
      <c r="P173" s="35"/>
      <c r="Q173" s="35"/>
      <c r="R173" s="35"/>
      <c r="S173" s="3"/>
      <c r="T173" s="3"/>
      <c r="U173" s="3"/>
      <c r="V173" s="3"/>
      <c r="W173" s="3"/>
    </row>
    <row r="174" spans="1:23" ht="15.75" thickBot="1" x14ac:dyDescent="0.3">
      <c r="A174" s="9"/>
      <c r="B174" s="119">
        <v>0</v>
      </c>
      <c r="C174" s="115">
        <v>0</v>
      </c>
      <c r="D174" s="23"/>
      <c r="E174" s="115">
        <v>0</v>
      </c>
      <c r="F174" s="115">
        <v>0</v>
      </c>
      <c r="G174" s="115">
        <v>0</v>
      </c>
      <c r="H174" s="115">
        <v>0</v>
      </c>
      <c r="I174" s="150">
        <v>0</v>
      </c>
      <c r="J174" s="151"/>
      <c r="K174" s="115">
        <v>0</v>
      </c>
      <c r="L174" s="108">
        <v>0</v>
      </c>
      <c r="M174" s="35"/>
      <c r="N174" s="35"/>
      <c r="O174" s="35"/>
      <c r="P174" s="35"/>
      <c r="Q174" s="35"/>
      <c r="R174" s="35"/>
      <c r="S174" s="3"/>
      <c r="T174" s="3"/>
      <c r="U174" s="3"/>
      <c r="V174" s="3"/>
      <c r="W174" s="3"/>
    </row>
    <row r="175" spans="1:23" ht="15.75" thickBot="1" x14ac:dyDescent="0.3">
      <c r="A175" s="9"/>
      <c r="B175" s="119">
        <v>0</v>
      </c>
      <c r="C175" s="115">
        <v>0</v>
      </c>
      <c r="D175" s="23"/>
      <c r="E175" s="115">
        <v>0</v>
      </c>
      <c r="F175" s="115">
        <v>0</v>
      </c>
      <c r="G175" s="115">
        <v>0</v>
      </c>
      <c r="H175" s="115">
        <v>0</v>
      </c>
      <c r="I175" s="150">
        <v>0</v>
      </c>
      <c r="J175" s="151"/>
      <c r="K175" s="115">
        <v>0</v>
      </c>
      <c r="L175" s="108">
        <v>0</v>
      </c>
      <c r="M175" s="35"/>
      <c r="N175" s="35"/>
      <c r="O175" s="35"/>
      <c r="P175" s="35"/>
      <c r="Q175" s="35"/>
      <c r="R175" s="35"/>
      <c r="S175" s="3"/>
      <c r="T175" s="3"/>
      <c r="U175" s="3"/>
      <c r="V175" s="3"/>
      <c r="W175" s="3"/>
    </row>
    <row r="176" spans="1:23" ht="15.75" thickBot="1" x14ac:dyDescent="0.3">
      <c r="A176" s="9"/>
      <c r="B176" s="119">
        <v>0</v>
      </c>
      <c r="C176" s="115">
        <v>0</v>
      </c>
      <c r="D176" s="23"/>
      <c r="E176" s="115">
        <v>0</v>
      </c>
      <c r="F176" s="115">
        <v>0</v>
      </c>
      <c r="G176" s="115">
        <v>0</v>
      </c>
      <c r="H176" s="115">
        <v>0</v>
      </c>
      <c r="I176" s="150">
        <v>0</v>
      </c>
      <c r="J176" s="151"/>
      <c r="K176" s="115">
        <v>0</v>
      </c>
      <c r="L176" s="108">
        <v>0</v>
      </c>
      <c r="M176" s="35"/>
      <c r="N176" s="35"/>
      <c r="O176" s="35"/>
      <c r="P176" s="35"/>
      <c r="Q176" s="35"/>
      <c r="R176" s="35"/>
      <c r="S176" s="3"/>
      <c r="T176" s="3"/>
      <c r="U176" s="3"/>
      <c r="V176" s="3"/>
      <c r="W176" s="3"/>
    </row>
    <row r="177" spans="1:23" ht="15.75" thickBot="1" x14ac:dyDescent="0.3">
      <c r="A177" s="9"/>
      <c r="B177" s="119">
        <v>0</v>
      </c>
      <c r="C177" s="115">
        <v>0</v>
      </c>
      <c r="D177" s="23"/>
      <c r="E177" s="115">
        <v>0</v>
      </c>
      <c r="F177" s="115">
        <v>0</v>
      </c>
      <c r="G177" s="115">
        <v>0</v>
      </c>
      <c r="H177" s="115">
        <v>0</v>
      </c>
      <c r="I177" s="150">
        <v>0</v>
      </c>
      <c r="J177" s="151"/>
      <c r="K177" s="115">
        <v>0</v>
      </c>
      <c r="L177" s="108">
        <v>0</v>
      </c>
      <c r="M177" s="35"/>
      <c r="N177" s="35"/>
      <c r="O177" s="35"/>
      <c r="P177" s="35"/>
      <c r="Q177" s="35"/>
      <c r="R177" s="35"/>
      <c r="S177" s="3"/>
      <c r="T177" s="3"/>
      <c r="U177" s="3"/>
      <c r="V177" s="3"/>
      <c r="W177" s="3"/>
    </row>
    <row r="178" spans="1:23" ht="15.75" thickBot="1" x14ac:dyDescent="0.3">
      <c r="A178" s="9"/>
      <c r="B178" s="119">
        <v>0</v>
      </c>
      <c r="C178" s="115">
        <v>0</v>
      </c>
      <c r="D178" s="23"/>
      <c r="E178" s="115">
        <v>0</v>
      </c>
      <c r="F178" s="115">
        <v>0</v>
      </c>
      <c r="G178" s="115">
        <v>0</v>
      </c>
      <c r="H178" s="115">
        <v>0</v>
      </c>
      <c r="I178" s="150">
        <v>0</v>
      </c>
      <c r="J178" s="151"/>
      <c r="K178" s="115">
        <v>0</v>
      </c>
      <c r="L178" s="108">
        <v>0</v>
      </c>
      <c r="M178" s="35"/>
      <c r="N178" s="35"/>
      <c r="O178" s="35"/>
      <c r="P178" s="35"/>
      <c r="Q178" s="35"/>
      <c r="R178" s="35"/>
      <c r="S178" s="3"/>
      <c r="T178" s="3"/>
      <c r="U178" s="3"/>
      <c r="V178" s="3"/>
      <c r="W178" s="3"/>
    </row>
    <row r="179" spans="1:23" ht="15.75" thickBot="1" x14ac:dyDescent="0.3">
      <c r="A179" s="9"/>
      <c r="B179" s="119">
        <v>0</v>
      </c>
      <c r="C179" s="115">
        <v>0</v>
      </c>
      <c r="D179" s="23"/>
      <c r="E179" s="115">
        <v>0</v>
      </c>
      <c r="F179" s="115">
        <v>0</v>
      </c>
      <c r="G179" s="115">
        <v>0</v>
      </c>
      <c r="H179" s="115">
        <v>0</v>
      </c>
      <c r="I179" s="150">
        <v>0</v>
      </c>
      <c r="J179" s="151"/>
      <c r="K179" s="115">
        <v>0</v>
      </c>
      <c r="L179" s="108">
        <v>0</v>
      </c>
      <c r="M179" s="35"/>
      <c r="N179" s="35"/>
      <c r="O179" s="35"/>
      <c r="P179" s="35"/>
      <c r="Q179" s="35"/>
      <c r="R179" s="35"/>
      <c r="S179" s="3"/>
      <c r="T179" s="3"/>
      <c r="U179" s="3"/>
      <c r="V179" s="3"/>
      <c r="W179" s="3"/>
    </row>
    <row r="180" spans="1:23" ht="15.75" thickBot="1" x14ac:dyDescent="0.3">
      <c r="A180" s="9"/>
      <c r="B180" s="119">
        <v>0</v>
      </c>
      <c r="C180" s="115">
        <v>0</v>
      </c>
      <c r="D180" s="23"/>
      <c r="E180" s="115">
        <v>0</v>
      </c>
      <c r="F180" s="115">
        <v>0</v>
      </c>
      <c r="G180" s="115">
        <v>0</v>
      </c>
      <c r="H180" s="115">
        <v>0</v>
      </c>
      <c r="I180" s="150">
        <v>0</v>
      </c>
      <c r="J180" s="151"/>
      <c r="K180" s="115">
        <v>0</v>
      </c>
      <c r="L180" s="108">
        <v>0</v>
      </c>
      <c r="M180" s="35"/>
      <c r="N180" s="35"/>
      <c r="O180" s="35"/>
      <c r="P180" s="35"/>
      <c r="Q180" s="35"/>
      <c r="R180" s="35"/>
      <c r="S180" s="3"/>
      <c r="T180" s="3"/>
      <c r="U180" s="3"/>
      <c r="V180" s="3"/>
      <c r="W180" s="3"/>
    </row>
    <row r="181" spans="1:23" ht="15.75" thickBot="1" x14ac:dyDescent="0.3">
      <c r="A181" s="9"/>
      <c r="B181" s="119">
        <v>0</v>
      </c>
      <c r="C181" s="115">
        <v>0</v>
      </c>
      <c r="D181" s="23"/>
      <c r="E181" s="115">
        <v>0</v>
      </c>
      <c r="F181" s="115">
        <v>0</v>
      </c>
      <c r="G181" s="115">
        <v>0</v>
      </c>
      <c r="H181" s="115">
        <v>0</v>
      </c>
      <c r="I181" s="150">
        <v>0</v>
      </c>
      <c r="J181" s="151"/>
      <c r="K181" s="115">
        <v>0</v>
      </c>
      <c r="L181" s="108">
        <v>0</v>
      </c>
      <c r="M181" s="35"/>
      <c r="N181" s="35"/>
      <c r="O181" s="35"/>
      <c r="P181" s="35"/>
      <c r="Q181" s="35"/>
      <c r="R181" s="35"/>
      <c r="S181" s="3"/>
      <c r="T181" s="3"/>
      <c r="U181" s="3"/>
      <c r="V181" s="3"/>
      <c r="W181" s="3"/>
    </row>
    <row r="182" spans="1:23" ht="15.75" thickBot="1" x14ac:dyDescent="0.3">
      <c r="A182" s="9"/>
      <c r="B182" s="119">
        <v>0</v>
      </c>
      <c r="C182" s="115">
        <v>0</v>
      </c>
      <c r="D182" s="23"/>
      <c r="E182" s="115">
        <v>0</v>
      </c>
      <c r="F182" s="115">
        <v>0</v>
      </c>
      <c r="G182" s="115">
        <v>0</v>
      </c>
      <c r="H182" s="115">
        <v>0</v>
      </c>
      <c r="I182" s="150">
        <v>0</v>
      </c>
      <c r="J182" s="151"/>
      <c r="K182" s="115">
        <v>0</v>
      </c>
      <c r="L182" s="108">
        <v>0</v>
      </c>
      <c r="M182" s="35"/>
      <c r="N182" s="35"/>
      <c r="O182" s="35"/>
      <c r="P182" s="35"/>
      <c r="Q182" s="35"/>
      <c r="R182" s="35"/>
      <c r="S182" s="3"/>
      <c r="T182" s="3"/>
      <c r="U182" s="3"/>
      <c r="V182" s="3"/>
      <c r="W182" s="3"/>
    </row>
    <row r="183" spans="1:23" ht="15.75" thickBot="1" x14ac:dyDescent="0.3">
      <c r="A183" s="9"/>
      <c r="B183" s="119">
        <v>0</v>
      </c>
      <c r="C183" s="115">
        <v>0</v>
      </c>
      <c r="D183" s="23"/>
      <c r="E183" s="115">
        <v>0</v>
      </c>
      <c r="F183" s="115">
        <v>0</v>
      </c>
      <c r="G183" s="115">
        <v>0</v>
      </c>
      <c r="H183" s="115">
        <v>0</v>
      </c>
      <c r="I183" s="150">
        <v>0</v>
      </c>
      <c r="J183" s="151"/>
      <c r="K183" s="115">
        <v>0</v>
      </c>
      <c r="L183" s="108">
        <v>0</v>
      </c>
      <c r="M183" s="35"/>
      <c r="N183" s="35"/>
      <c r="O183" s="35"/>
      <c r="P183" s="35"/>
      <c r="Q183" s="35"/>
      <c r="R183" s="35"/>
      <c r="S183" s="3"/>
      <c r="T183" s="3"/>
      <c r="U183" s="3"/>
      <c r="V183" s="3"/>
      <c r="W183" s="3"/>
    </row>
    <row r="184" spans="1:23" ht="15.75" thickBot="1" x14ac:dyDescent="0.3">
      <c r="A184" s="9"/>
      <c r="B184" s="119">
        <v>0</v>
      </c>
      <c r="C184" s="115">
        <v>0</v>
      </c>
      <c r="D184" s="23"/>
      <c r="E184" s="115">
        <v>0</v>
      </c>
      <c r="F184" s="115">
        <v>0</v>
      </c>
      <c r="G184" s="115">
        <v>0</v>
      </c>
      <c r="H184" s="115">
        <v>0</v>
      </c>
      <c r="I184" s="150">
        <v>0</v>
      </c>
      <c r="J184" s="151"/>
      <c r="K184" s="115">
        <v>0</v>
      </c>
      <c r="L184" s="108">
        <v>0</v>
      </c>
      <c r="M184" s="35"/>
      <c r="N184" s="35"/>
      <c r="O184" s="35"/>
      <c r="P184" s="35"/>
      <c r="Q184" s="35"/>
      <c r="R184" s="35"/>
      <c r="S184" s="3"/>
      <c r="T184" s="3"/>
      <c r="U184" s="3"/>
      <c r="V184" s="3"/>
      <c r="W184" s="3"/>
    </row>
    <row r="185" spans="1:23" ht="15.75" thickBot="1" x14ac:dyDescent="0.3">
      <c r="A185" s="9"/>
      <c r="B185" s="119">
        <v>0</v>
      </c>
      <c r="C185" s="115">
        <v>0</v>
      </c>
      <c r="D185" s="23"/>
      <c r="E185" s="115">
        <v>0</v>
      </c>
      <c r="F185" s="115">
        <v>0</v>
      </c>
      <c r="G185" s="115">
        <v>0</v>
      </c>
      <c r="H185" s="115">
        <v>0</v>
      </c>
      <c r="I185" s="150">
        <v>0</v>
      </c>
      <c r="J185" s="151"/>
      <c r="K185" s="115">
        <v>0</v>
      </c>
      <c r="L185" s="108">
        <v>0</v>
      </c>
      <c r="M185" s="35"/>
      <c r="N185" s="35"/>
      <c r="O185" s="35"/>
      <c r="P185" s="35"/>
      <c r="Q185" s="35"/>
      <c r="R185" s="35"/>
      <c r="S185" s="3"/>
      <c r="T185" s="3"/>
      <c r="U185" s="3"/>
      <c r="V185" s="3"/>
      <c r="W185" s="3"/>
    </row>
    <row r="186" spans="1:23" ht="15.75" thickBot="1" x14ac:dyDescent="0.3">
      <c r="A186" s="9"/>
      <c r="B186" s="119">
        <v>0</v>
      </c>
      <c r="C186" s="115">
        <v>0</v>
      </c>
      <c r="D186" s="23"/>
      <c r="E186" s="115">
        <v>0</v>
      </c>
      <c r="F186" s="115">
        <v>0</v>
      </c>
      <c r="G186" s="115">
        <v>0</v>
      </c>
      <c r="H186" s="115">
        <v>0</v>
      </c>
      <c r="I186" s="150">
        <v>0</v>
      </c>
      <c r="J186" s="151"/>
      <c r="K186" s="115">
        <v>0</v>
      </c>
      <c r="L186" s="108">
        <v>0</v>
      </c>
      <c r="M186" s="35"/>
      <c r="N186" s="35"/>
      <c r="O186" s="35"/>
      <c r="P186" s="35"/>
      <c r="Q186" s="35"/>
      <c r="R186" s="35"/>
      <c r="S186" s="3"/>
      <c r="T186" s="3"/>
      <c r="U186" s="3"/>
      <c r="V186" s="3"/>
      <c r="W186" s="3"/>
    </row>
    <row r="187" spans="1:23" x14ac:dyDescent="0.25">
      <c r="B187" s="110">
        <v>0</v>
      </c>
      <c r="C187" s="110">
        <v>0</v>
      </c>
      <c r="D187" s="3"/>
      <c r="E187" s="110"/>
      <c r="F187" s="121"/>
      <c r="G187" s="121"/>
      <c r="H187" s="121"/>
      <c r="I187" s="110"/>
      <c r="J187" s="110"/>
      <c r="K187" s="121"/>
      <c r="L187" s="111"/>
      <c r="M187" s="35"/>
      <c r="N187" s="35"/>
      <c r="O187" s="35"/>
      <c r="P187" s="35"/>
      <c r="Q187" s="35"/>
      <c r="R187" s="35"/>
      <c r="S187" s="3"/>
      <c r="T187" s="3"/>
      <c r="U187" s="3"/>
      <c r="V187" s="3"/>
      <c r="W187" s="3"/>
    </row>
    <row r="188" spans="1:23" x14ac:dyDescent="0.25">
      <c r="B188" s="110">
        <v>0</v>
      </c>
      <c r="C188" s="110">
        <v>0</v>
      </c>
      <c r="D188" s="3"/>
      <c r="E188" s="110"/>
      <c r="F188" s="121"/>
      <c r="G188" s="121"/>
      <c r="H188" s="121"/>
      <c r="I188" s="110"/>
      <c r="J188" s="110"/>
      <c r="K188" s="121"/>
      <c r="L188" s="111"/>
      <c r="M188" s="35"/>
      <c r="N188" s="35"/>
      <c r="O188" s="35"/>
      <c r="P188" s="35"/>
      <c r="Q188" s="35"/>
      <c r="R188" s="35"/>
      <c r="S188" s="3"/>
      <c r="T188" s="3"/>
      <c r="U188" s="3"/>
      <c r="V188" s="3"/>
      <c r="W188" s="3"/>
    </row>
    <row r="189" spans="1:23" x14ac:dyDescent="0.25">
      <c r="B189" s="110">
        <v>0</v>
      </c>
      <c r="C189" s="110">
        <v>0</v>
      </c>
      <c r="D189" s="3"/>
      <c r="E189" s="3"/>
      <c r="F189" s="35"/>
      <c r="G189" s="35"/>
      <c r="H189" s="35"/>
      <c r="I189" s="35"/>
      <c r="J189" s="35"/>
      <c r="K189" s="35"/>
      <c r="L189" s="35"/>
      <c r="M189" s="35"/>
      <c r="N189" s="35"/>
      <c r="O189" s="35"/>
      <c r="P189" s="35"/>
      <c r="Q189" s="35"/>
      <c r="R189" s="35"/>
      <c r="S189" s="3"/>
      <c r="T189" s="3"/>
      <c r="U189" s="3"/>
      <c r="V189" s="3"/>
      <c r="W189" s="3"/>
    </row>
    <row r="190" spans="1:23" x14ac:dyDescent="0.25">
      <c r="A190" s="9"/>
      <c r="B190" s="80" t="s">
        <v>154</v>
      </c>
      <c r="C190" s="23"/>
      <c r="D190" s="23"/>
      <c r="E190" s="80" t="s">
        <v>154</v>
      </c>
      <c r="F190" s="81"/>
      <c r="G190" s="81"/>
      <c r="H190" s="81"/>
      <c r="I190" s="147" t="s">
        <v>154</v>
      </c>
      <c r="J190" s="147"/>
      <c r="K190" s="81"/>
      <c r="L190" s="81"/>
      <c r="M190" s="35"/>
      <c r="N190" s="35"/>
      <c r="O190" s="35"/>
      <c r="P190" s="35"/>
      <c r="Q190" s="35"/>
      <c r="R190" s="35"/>
      <c r="S190" s="3"/>
      <c r="T190" s="3"/>
      <c r="U190" s="3"/>
      <c r="V190" s="3"/>
      <c r="W190" s="3"/>
    </row>
    <row r="191" spans="1:23" x14ac:dyDescent="0.25">
      <c r="A191" s="19" t="s">
        <v>116</v>
      </c>
      <c r="B191" s="82" t="s">
        <v>110</v>
      </c>
      <c r="C191" s="82" t="s">
        <v>73</v>
      </c>
      <c r="D191" s="113" t="s">
        <v>116</v>
      </c>
      <c r="E191" s="82" t="s">
        <v>112</v>
      </c>
      <c r="F191" s="82" t="s">
        <v>113</v>
      </c>
      <c r="G191" s="82" t="s">
        <v>114</v>
      </c>
      <c r="H191" s="82" t="s">
        <v>115</v>
      </c>
      <c r="I191" s="148" t="s">
        <v>117</v>
      </c>
      <c r="J191" s="148"/>
      <c r="K191" s="85" t="s">
        <v>119</v>
      </c>
      <c r="L191" s="85" t="s">
        <v>120</v>
      </c>
      <c r="M191" s="35"/>
      <c r="N191" s="35"/>
      <c r="O191" s="35"/>
      <c r="P191" s="35"/>
      <c r="Q191" s="35"/>
      <c r="R191" s="35"/>
      <c r="S191" s="3"/>
      <c r="T191" s="3"/>
      <c r="U191" s="3"/>
      <c r="V191" s="3"/>
      <c r="W191" s="3"/>
    </row>
    <row r="192" spans="1:23" x14ac:dyDescent="0.25">
      <c r="A192" s="9"/>
      <c r="B192" s="107" t="s">
        <v>155</v>
      </c>
      <c r="C192" s="115">
        <v>2</v>
      </c>
      <c r="D192" s="23"/>
      <c r="E192" s="107" t="s">
        <v>155</v>
      </c>
      <c r="F192" s="115">
        <v>0.5</v>
      </c>
      <c r="G192" s="115">
        <v>1</v>
      </c>
      <c r="H192" s="115">
        <v>1.5</v>
      </c>
      <c r="I192" s="149" t="s">
        <v>155</v>
      </c>
      <c r="J192" s="149"/>
      <c r="K192" s="115">
        <v>0.5</v>
      </c>
      <c r="L192" s="108">
        <v>0.25</v>
      </c>
      <c r="M192" s="35"/>
      <c r="N192" s="35"/>
      <c r="O192" s="35"/>
      <c r="P192" s="35"/>
      <c r="Q192" s="35"/>
      <c r="R192" s="35"/>
      <c r="S192" s="3"/>
      <c r="T192" s="3"/>
      <c r="U192" s="3"/>
      <c r="V192" s="3"/>
      <c r="W192" s="3"/>
    </row>
    <row r="193" spans="1:23" x14ac:dyDescent="0.25">
      <c r="A193" s="9"/>
      <c r="B193" s="107" t="s">
        <v>156</v>
      </c>
      <c r="C193" s="115">
        <v>3</v>
      </c>
      <c r="D193" s="23"/>
      <c r="E193" s="107" t="s">
        <v>156</v>
      </c>
      <c r="F193" s="115">
        <v>1</v>
      </c>
      <c r="G193" s="115">
        <v>1.5</v>
      </c>
      <c r="H193" s="115">
        <v>2</v>
      </c>
      <c r="I193" s="149" t="s">
        <v>156</v>
      </c>
      <c r="J193" s="149"/>
      <c r="K193" s="115">
        <v>0</v>
      </c>
      <c r="L193" s="108">
        <v>0</v>
      </c>
      <c r="M193" s="35"/>
      <c r="N193" s="35"/>
      <c r="O193" s="35"/>
      <c r="P193" s="35"/>
      <c r="Q193" s="35"/>
      <c r="R193" s="35"/>
      <c r="S193" s="3"/>
      <c r="T193" s="3"/>
      <c r="U193" s="3"/>
      <c r="V193" s="3"/>
      <c r="W193" s="3"/>
    </row>
    <row r="194" spans="1:23" x14ac:dyDescent="0.25">
      <c r="A194" s="9"/>
      <c r="B194" s="107" t="s">
        <v>157</v>
      </c>
      <c r="C194" s="115">
        <v>2</v>
      </c>
      <c r="D194" s="23"/>
      <c r="E194" s="107" t="s">
        <v>157</v>
      </c>
      <c r="F194" s="115">
        <v>0.5</v>
      </c>
      <c r="G194" s="115">
        <v>1</v>
      </c>
      <c r="H194" s="115">
        <v>1.5</v>
      </c>
      <c r="I194" s="149" t="s">
        <v>157</v>
      </c>
      <c r="J194" s="149"/>
      <c r="K194" s="115">
        <v>0.5</v>
      </c>
      <c r="L194" s="108">
        <v>0.25</v>
      </c>
      <c r="M194" s="35"/>
      <c r="N194" s="35"/>
      <c r="O194" s="35"/>
      <c r="P194" s="35"/>
      <c r="Q194" s="35"/>
      <c r="R194" s="35"/>
      <c r="S194" s="3"/>
      <c r="T194" s="3"/>
      <c r="U194" s="3"/>
      <c r="V194" s="3"/>
      <c r="W194" s="3"/>
    </row>
    <row r="195" spans="1:23" x14ac:dyDescent="0.25">
      <c r="A195" s="9"/>
      <c r="B195" s="107" t="s">
        <v>158</v>
      </c>
      <c r="C195" s="115">
        <v>2</v>
      </c>
      <c r="D195" s="23"/>
      <c r="E195" s="107" t="s">
        <v>158</v>
      </c>
      <c r="F195" s="115">
        <v>0.5</v>
      </c>
      <c r="G195" s="115">
        <v>1</v>
      </c>
      <c r="H195" s="115">
        <v>1.5</v>
      </c>
      <c r="I195" s="149" t="s">
        <v>158</v>
      </c>
      <c r="J195" s="149"/>
      <c r="K195" s="115">
        <v>0.5</v>
      </c>
      <c r="L195" s="108">
        <v>0.25</v>
      </c>
      <c r="M195" s="35"/>
      <c r="N195" s="35"/>
      <c r="O195" s="35"/>
      <c r="P195" s="35"/>
      <c r="Q195" s="35"/>
      <c r="R195" s="35"/>
      <c r="S195" s="3"/>
      <c r="T195" s="3"/>
      <c r="U195" s="3"/>
      <c r="V195" s="3"/>
      <c r="W195" s="3"/>
    </row>
    <row r="196" spans="1:23" x14ac:dyDescent="0.25">
      <c r="A196" s="9"/>
      <c r="B196" s="107" t="s">
        <v>159</v>
      </c>
      <c r="C196" s="115">
        <v>0.75</v>
      </c>
      <c r="D196" s="23"/>
      <c r="E196" s="107" t="s">
        <v>159</v>
      </c>
      <c r="F196" s="115">
        <v>0.25</v>
      </c>
      <c r="G196" s="115">
        <v>0.5</v>
      </c>
      <c r="H196" s="115">
        <v>0.75</v>
      </c>
      <c r="I196" s="149" t="s">
        <v>159</v>
      </c>
      <c r="J196" s="149"/>
      <c r="K196" s="115">
        <v>0.25</v>
      </c>
      <c r="L196" s="108">
        <v>0</v>
      </c>
      <c r="M196" s="35"/>
      <c r="N196" s="35"/>
      <c r="O196" s="35"/>
      <c r="P196" s="35"/>
      <c r="Q196" s="35"/>
      <c r="R196" s="35"/>
      <c r="S196" s="3"/>
      <c r="T196" s="3"/>
      <c r="U196" s="3"/>
      <c r="V196" s="3"/>
      <c r="W196" s="3"/>
    </row>
    <row r="197" spans="1:23" x14ac:dyDescent="0.25">
      <c r="A197" s="9"/>
      <c r="B197" s="107" t="s">
        <v>160</v>
      </c>
      <c r="C197" s="115">
        <v>0.75</v>
      </c>
      <c r="D197" s="23"/>
      <c r="E197" s="107" t="s">
        <v>160</v>
      </c>
      <c r="F197" s="115">
        <v>0.25</v>
      </c>
      <c r="G197" s="115">
        <v>0.5</v>
      </c>
      <c r="H197" s="115">
        <v>0.75</v>
      </c>
      <c r="I197" s="149" t="s">
        <v>160</v>
      </c>
      <c r="J197" s="149"/>
      <c r="K197" s="115">
        <v>0.25</v>
      </c>
      <c r="L197" s="108">
        <v>0</v>
      </c>
      <c r="M197" s="35"/>
      <c r="N197" s="35"/>
      <c r="O197" s="35"/>
      <c r="P197" s="35"/>
      <c r="Q197" s="35"/>
      <c r="R197" s="35"/>
      <c r="S197" s="3"/>
      <c r="T197" s="3"/>
      <c r="U197" s="3"/>
      <c r="V197" s="3"/>
      <c r="W197" s="3"/>
    </row>
    <row r="198" spans="1:23" x14ac:dyDescent="0.25">
      <c r="A198" s="9"/>
      <c r="B198" s="107" t="s">
        <v>260</v>
      </c>
      <c r="C198" s="115">
        <v>0.75</v>
      </c>
      <c r="D198" s="23"/>
      <c r="E198" s="107" t="s">
        <v>260</v>
      </c>
      <c r="F198" s="122">
        <v>0.25</v>
      </c>
      <c r="G198" s="122">
        <v>0.5</v>
      </c>
      <c r="H198" s="122">
        <v>0.75</v>
      </c>
      <c r="I198" s="149" t="s">
        <v>260</v>
      </c>
      <c r="J198" s="149"/>
      <c r="K198" s="108">
        <v>0.25</v>
      </c>
      <c r="L198" s="108">
        <v>0</v>
      </c>
      <c r="M198" s="35"/>
      <c r="N198" s="35"/>
      <c r="O198" s="35"/>
      <c r="P198" s="35"/>
      <c r="Q198" s="35"/>
      <c r="R198" s="35"/>
      <c r="S198" s="3"/>
      <c r="T198" s="3"/>
      <c r="U198" s="3"/>
      <c r="V198" s="3"/>
      <c r="W198" s="3"/>
    </row>
    <row r="199" spans="1:23" x14ac:dyDescent="0.25">
      <c r="A199" s="9"/>
      <c r="B199" s="107">
        <v>0</v>
      </c>
      <c r="C199" s="115">
        <v>0</v>
      </c>
      <c r="D199" s="23"/>
      <c r="E199" s="107">
        <v>0</v>
      </c>
      <c r="F199" s="107">
        <v>0</v>
      </c>
      <c r="G199" s="107">
        <v>0</v>
      </c>
      <c r="H199" s="107">
        <v>0</v>
      </c>
      <c r="I199" s="149">
        <v>0</v>
      </c>
      <c r="J199" s="149"/>
      <c r="K199" s="108">
        <v>0</v>
      </c>
      <c r="L199" s="108">
        <v>0</v>
      </c>
      <c r="M199" s="35"/>
      <c r="N199" s="35"/>
      <c r="O199" s="35"/>
      <c r="P199" s="35"/>
      <c r="Q199" s="35"/>
      <c r="R199" s="35"/>
      <c r="S199" s="3"/>
      <c r="T199" s="3"/>
      <c r="U199" s="3"/>
      <c r="V199" s="3"/>
      <c r="W199" s="3"/>
    </row>
    <row r="200" spans="1:23" x14ac:dyDescent="0.25">
      <c r="A200" s="9"/>
      <c r="B200" s="107">
        <v>0</v>
      </c>
      <c r="C200" s="115">
        <v>0</v>
      </c>
      <c r="D200" s="23"/>
      <c r="E200" s="107">
        <v>0</v>
      </c>
      <c r="F200" s="107">
        <v>0</v>
      </c>
      <c r="G200" s="107">
        <v>0</v>
      </c>
      <c r="H200" s="107">
        <v>0</v>
      </c>
      <c r="I200" s="149">
        <v>0</v>
      </c>
      <c r="J200" s="149"/>
      <c r="K200" s="108">
        <v>0</v>
      </c>
      <c r="L200" s="108">
        <v>0</v>
      </c>
      <c r="M200" s="35"/>
      <c r="N200" s="35"/>
      <c r="O200" s="35"/>
      <c r="P200" s="35"/>
      <c r="Q200" s="35"/>
      <c r="R200" s="35"/>
      <c r="S200" s="3"/>
      <c r="T200" s="3"/>
      <c r="U200" s="3"/>
      <c r="V200" s="3"/>
      <c r="W200" s="3"/>
    </row>
    <row r="201" spans="1:23" x14ac:dyDescent="0.25">
      <c r="A201" s="9"/>
      <c r="B201" s="107">
        <v>0</v>
      </c>
      <c r="C201" s="115">
        <v>0</v>
      </c>
      <c r="D201" s="23"/>
      <c r="E201" s="107">
        <v>0</v>
      </c>
      <c r="F201" s="107">
        <v>0</v>
      </c>
      <c r="G201" s="107">
        <v>0</v>
      </c>
      <c r="H201" s="107">
        <v>0</v>
      </c>
      <c r="I201" s="149">
        <v>0</v>
      </c>
      <c r="J201" s="149"/>
      <c r="K201" s="108">
        <v>0</v>
      </c>
      <c r="L201" s="108">
        <v>0</v>
      </c>
      <c r="M201" s="35"/>
      <c r="N201" s="35"/>
      <c r="O201" s="35"/>
      <c r="P201" s="35"/>
      <c r="Q201" s="35"/>
      <c r="R201" s="35"/>
      <c r="S201" s="3"/>
      <c r="T201" s="3"/>
      <c r="U201" s="3"/>
      <c r="V201" s="3"/>
      <c r="W201" s="3"/>
    </row>
    <row r="202" spans="1:23" x14ac:dyDescent="0.25">
      <c r="A202" s="9"/>
      <c r="B202" s="107">
        <v>0</v>
      </c>
      <c r="C202" s="115">
        <v>0</v>
      </c>
      <c r="D202" s="23"/>
      <c r="E202" s="107">
        <v>0</v>
      </c>
      <c r="F202" s="107">
        <v>0</v>
      </c>
      <c r="G202" s="107">
        <v>0</v>
      </c>
      <c r="H202" s="107">
        <v>0</v>
      </c>
      <c r="I202" s="149">
        <v>0</v>
      </c>
      <c r="J202" s="149"/>
      <c r="K202" s="108">
        <v>0</v>
      </c>
      <c r="L202" s="108">
        <v>0</v>
      </c>
      <c r="M202" s="35"/>
      <c r="N202" s="35"/>
      <c r="O202" s="35"/>
      <c r="P202" s="35"/>
      <c r="Q202" s="35"/>
      <c r="R202" s="35"/>
      <c r="S202" s="3"/>
      <c r="T202" s="3"/>
      <c r="U202" s="3"/>
      <c r="V202" s="3"/>
      <c r="W202" s="3"/>
    </row>
    <row r="203" spans="1:23" x14ac:dyDescent="0.25">
      <c r="A203" s="9"/>
      <c r="B203" s="107">
        <v>0</v>
      </c>
      <c r="C203" s="115">
        <v>0</v>
      </c>
      <c r="D203" s="23"/>
      <c r="E203" s="107">
        <v>0</v>
      </c>
      <c r="F203" s="107">
        <v>0</v>
      </c>
      <c r="G203" s="107">
        <v>0</v>
      </c>
      <c r="H203" s="107">
        <v>0</v>
      </c>
      <c r="I203" s="149">
        <v>0</v>
      </c>
      <c r="J203" s="149"/>
      <c r="K203" s="108">
        <v>0</v>
      </c>
      <c r="L203" s="108">
        <v>0</v>
      </c>
      <c r="M203" s="35"/>
      <c r="N203" s="35"/>
      <c r="O203" s="35"/>
      <c r="P203" s="35"/>
      <c r="Q203" s="35"/>
      <c r="R203" s="35"/>
      <c r="S203" s="3"/>
      <c r="T203" s="3"/>
      <c r="U203" s="3"/>
      <c r="V203" s="3"/>
      <c r="W203" s="3"/>
    </row>
    <row r="204" spans="1:23" x14ac:dyDescent="0.25">
      <c r="A204" s="9"/>
      <c r="B204" s="107">
        <v>0</v>
      </c>
      <c r="C204" s="115">
        <v>0</v>
      </c>
      <c r="D204" s="23"/>
      <c r="E204" s="107">
        <v>0</v>
      </c>
      <c r="F204" s="107">
        <v>0</v>
      </c>
      <c r="G204" s="107">
        <v>0</v>
      </c>
      <c r="H204" s="107">
        <v>0</v>
      </c>
      <c r="I204" s="149">
        <v>0</v>
      </c>
      <c r="J204" s="149"/>
      <c r="K204" s="108">
        <v>0</v>
      </c>
      <c r="L204" s="108">
        <v>0</v>
      </c>
      <c r="M204" s="35"/>
      <c r="N204" s="35"/>
      <c r="O204" s="35"/>
      <c r="P204" s="35"/>
      <c r="Q204" s="35"/>
      <c r="R204" s="35"/>
      <c r="S204" s="3"/>
      <c r="T204" s="3"/>
      <c r="U204" s="3"/>
      <c r="V204" s="3"/>
      <c r="W204" s="3"/>
    </row>
    <row r="205" spans="1:23" x14ac:dyDescent="0.25">
      <c r="A205" s="9"/>
      <c r="B205" s="107">
        <v>0</v>
      </c>
      <c r="C205" s="115">
        <v>0</v>
      </c>
      <c r="D205" s="23"/>
      <c r="E205" s="107">
        <v>0</v>
      </c>
      <c r="F205" s="107">
        <v>0</v>
      </c>
      <c r="G205" s="107">
        <v>0</v>
      </c>
      <c r="H205" s="107">
        <v>0</v>
      </c>
      <c r="I205" s="149">
        <v>0</v>
      </c>
      <c r="J205" s="149"/>
      <c r="K205" s="108">
        <v>0</v>
      </c>
      <c r="L205" s="108">
        <v>0</v>
      </c>
      <c r="M205" s="35"/>
      <c r="N205" s="35"/>
      <c r="O205" s="35"/>
      <c r="P205" s="35"/>
      <c r="Q205" s="35"/>
      <c r="R205" s="35"/>
      <c r="S205" s="3"/>
      <c r="T205" s="3"/>
      <c r="U205" s="3"/>
      <c r="V205" s="3"/>
      <c r="W205" s="3"/>
    </row>
    <row r="206" spans="1:23" x14ac:dyDescent="0.25">
      <c r="A206" s="9"/>
      <c r="B206" s="107">
        <v>0</v>
      </c>
      <c r="C206" s="115">
        <v>0</v>
      </c>
      <c r="D206" s="23"/>
      <c r="E206" s="107">
        <v>0</v>
      </c>
      <c r="F206" s="107">
        <v>0</v>
      </c>
      <c r="G206" s="107">
        <v>0</v>
      </c>
      <c r="H206" s="107">
        <v>0</v>
      </c>
      <c r="I206" s="149">
        <v>0</v>
      </c>
      <c r="J206" s="149"/>
      <c r="K206" s="108">
        <v>0</v>
      </c>
      <c r="L206" s="108">
        <v>0</v>
      </c>
      <c r="M206" s="35"/>
      <c r="N206" s="35"/>
      <c r="O206" s="35"/>
      <c r="P206" s="35"/>
      <c r="Q206" s="35"/>
      <c r="R206" s="35"/>
      <c r="S206" s="3"/>
      <c r="T206" s="3"/>
      <c r="U206" s="3"/>
      <c r="V206" s="3"/>
      <c r="W206" s="3"/>
    </row>
    <row r="207" spans="1:23" x14ac:dyDescent="0.25">
      <c r="A207" s="9"/>
      <c r="B207" s="107">
        <v>0</v>
      </c>
      <c r="C207" s="115">
        <v>0</v>
      </c>
      <c r="D207" s="23"/>
      <c r="E207" s="107">
        <v>0</v>
      </c>
      <c r="F207" s="107">
        <v>0</v>
      </c>
      <c r="G207" s="107">
        <v>0</v>
      </c>
      <c r="H207" s="107">
        <v>0</v>
      </c>
      <c r="I207" s="149">
        <v>0</v>
      </c>
      <c r="J207" s="149"/>
      <c r="K207" s="108">
        <v>0</v>
      </c>
      <c r="L207" s="108">
        <v>0</v>
      </c>
      <c r="M207" s="35"/>
      <c r="N207" s="35"/>
      <c r="O207" s="35"/>
      <c r="P207" s="35"/>
      <c r="Q207" s="35"/>
      <c r="R207" s="35"/>
      <c r="S207" s="3"/>
      <c r="T207" s="3"/>
      <c r="U207" s="3"/>
      <c r="V207" s="3"/>
      <c r="W207" s="3"/>
    </row>
    <row r="208" spans="1:23" x14ac:dyDescent="0.25">
      <c r="A208" s="9"/>
      <c r="B208" s="107">
        <v>0</v>
      </c>
      <c r="C208" s="115">
        <v>0</v>
      </c>
      <c r="D208" s="23"/>
      <c r="E208" s="107">
        <v>0</v>
      </c>
      <c r="F208" s="107">
        <v>0</v>
      </c>
      <c r="G208" s="107">
        <v>0</v>
      </c>
      <c r="H208" s="107">
        <v>0</v>
      </c>
      <c r="I208" s="149">
        <v>0</v>
      </c>
      <c r="J208" s="149"/>
      <c r="K208" s="108">
        <v>0</v>
      </c>
      <c r="L208" s="108">
        <v>0</v>
      </c>
      <c r="M208" s="35"/>
      <c r="N208" s="35"/>
      <c r="O208" s="35"/>
      <c r="P208" s="35"/>
      <c r="Q208" s="35"/>
      <c r="R208" s="35"/>
      <c r="S208" s="3"/>
      <c r="T208" s="3"/>
      <c r="U208" s="3"/>
      <c r="V208" s="3"/>
      <c r="W208" s="3"/>
    </row>
    <row r="209" spans="1:23" x14ac:dyDescent="0.25">
      <c r="A209" s="9"/>
      <c r="B209" s="107">
        <v>0</v>
      </c>
      <c r="C209" s="115">
        <v>0</v>
      </c>
      <c r="D209" s="23"/>
      <c r="E209" s="107">
        <v>0</v>
      </c>
      <c r="F209" s="107">
        <v>0</v>
      </c>
      <c r="G209" s="107">
        <v>0</v>
      </c>
      <c r="H209" s="107">
        <v>0</v>
      </c>
      <c r="I209" s="149">
        <v>0</v>
      </c>
      <c r="J209" s="149"/>
      <c r="K209" s="108">
        <v>0</v>
      </c>
      <c r="L209" s="108">
        <v>0</v>
      </c>
      <c r="M209" s="35"/>
      <c r="N209" s="35"/>
      <c r="O209" s="35"/>
      <c r="P209" s="35"/>
      <c r="Q209" s="35"/>
      <c r="R209" s="35"/>
      <c r="S209" s="3"/>
      <c r="T209" s="3"/>
      <c r="U209" s="3"/>
      <c r="V209" s="3"/>
      <c r="W209" s="3"/>
    </row>
    <row r="210" spans="1:23" x14ac:dyDescent="0.25">
      <c r="A210" s="9"/>
      <c r="B210" s="107">
        <v>0</v>
      </c>
      <c r="C210" s="115">
        <v>0</v>
      </c>
      <c r="D210" s="23"/>
      <c r="E210" s="107">
        <v>0</v>
      </c>
      <c r="F210" s="107">
        <v>0</v>
      </c>
      <c r="G210" s="107">
        <v>0</v>
      </c>
      <c r="H210" s="107">
        <v>0</v>
      </c>
      <c r="I210" s="149">
        <v>0</v>
      </c>
      <c r="J210" s="149"/>
      <c r="K210" s="108">
        <v>0</v>
      </c>
      <c r="L210" s="108">
        <v>0</v>
      </c>
      <c r="M210" s="35"/>
      <c r="N210" s="35"/>
      <c r="O210" s="35"/>
      <c r="P210" s="35"/>
      <c r="Q210" s="35"/>
      <c r="R210" s="35"/>
      <c r="S210" s="3"/>
      <c r="T210" s="3"/>
      <c r="U210" s="3"/>
      <c r="V210" s="3"/>
      <c r="W210" s="3"/>
    </row>
    <row r="211" spans="1:23" x14ac:dyDescent="0.25">
      <c r="A211" s="9"/>
      <c r="B211" s="107">
        <v>0</v>
      </c>
      <c r="C211" s="115">
        <v>0</v>
      </c>
      <c r="D211" s="23"/>
      <c r="E211" s="107">
        <v>0</v>
      </c>
      <c r="F211" s="107">
        <v>0</v>
      </c>
      <c r="G211" s="107">
        <v>0</v>
      </c>
      <c r="H211" s="107">
        <v>0</v>
      </c>
      <c r="I211" s="149">
        <v>0</v>
      </c>
      <c r="J211" s="149"/>
      <c r="K211" s="108">
        <v>0</v>
      </c>
      <c r="L211" s="108">
        <v>0</v>
      </c>
      <c r="M211" s="35"/>
      <c r="N211" s="35"/>
      <c r="O211" s="35"/>
      <c r="P211" s="35"/>
      <c r="Q211" s="35"/>
      <c r="R211" s="35"/>
      <c r="S211" s="3"/>
      <c r="T211" s="3"/>
      <c r="U211" s="3"/>
      <c r="V211" s="3"/>
      <c r="W211" s="3"/>
    </row>
    <row r="212" spans="1:23" x14ac:dyDescent="0.25">
      <c r="A212" s="9"/>
      <c r="B212" s="107">
        <v>0</v>
      </c>
      <c r="C212" s="115">
        <v>0</v>
      </c>
      <c r="D212" s="23"/>
      <c r="E212" s="107">
        <v>0</v>
      </c>
      <c r="F212" s="107">
        <v>0</v>
      </c>
      <c r="G212" s="107">
        <v>0</v>
      </c>
      <c r="H212" s="107">
        <v>0</v>
      </c>
      <c r="I212" s="149">
        <v>0</v>
      </c>
      <c r="J212" s="149"/>
      <c r="K212" s="108">
        <v>0</v>
      </c>
      <c r="L212" s="108">
        <v>0</v>
      </c>
      <c r="M212" s="35"/>
      <c r="N212" s="35"/>
      <c r="O212" s="35"/>
      <c r="P212" s="35"/>
      <c r="Q212" s="35"/>
      <c r="R212" s="35"/>
      <c r="S212" s="3"/>
      <c r="T212" s="3"/>
      <c r="U212" s="3"/>
      <c r="V212" s="3"/>
      <c r="W212" s="3"/>
    </row>
    <row r="213" spans="1:23" x14ac:dyDescent="0.25">
      <c r="A213" s="9"/>
      <c r="B213" s="107">
        <v>0</v>
      </c>
      <c r="C213" s="115">
        <v>0</v>
      </c>
      <c r="D213" s="23"/>
      <c r="E213" s="107">
        <v>0</v>
      </c>
      <c r="F213" s="107">
        <v>0</v>
      </c>
      <c r="G213" s="107">
        <v>0</v>
      </c>
      <c r="H213" s="107">
        <v>0</v>
      </c>
      <c r="I213" s="149">
        <v>0</v>
      </c>
      <c r="J213" s="149"/>
      <c r="K213" s="108">
        <v>0</v>
      </c>
      <c r="L213" s="108">
        <v>0</v>
      </c>
      <c r="M213" s="35"/>
      <c r="N213" s="35"/>
      <c r="O213" s="35"/>
      <c r="P213" s="35"/>
      <c r="Q213" s="35"/>
      <c r="R213" s="35"/>
      <c r="S213" s="3"/>
      <c r="T213" s="3"/>
      <c r="U213" s="3"/>
      <c r="V213" s="3"/>
      <c r="W213" s="3"/>
    </row>
    <row r="214" spans="1:23" x14ac:dyDescent="0.25">
      <c r="A214" s="9"/>
      <c r="B214" s="107">
        <v>0</v>
      </c>
      <c r="C214" s="115">
        <v>0</v>
      </c>
      <c r="D214" s="23"/>
      <c r="E214" s="107">
        <v>0</v>
      </c>
      <c r="F214" s="107">
        <v>0</v>
      </c>
      <c r="G214" s="107">
        <v>0</v>
      </c>
      <c r="H214" s="107">
        <v>0</v>
      </c>
      <c r="I214" s="149">
        <v>0</v>
      </c>
      <c r="J214" s="149"/>
      <c r="K214" s="108">
        <v>0</v>
      </c>
      <c r="L214" s="108">
        <v>0</v>
      </c>
      <c r="M214" s="35"/>
      <c r="N214" s="35"/>
      <c r="O214" s="35"/>
      <c r="P214" s="35"/>
      <c r="Q214" s="35"/>
      <c r="R214" s="35"/>
      <c r="S214" s="3"/>
      <c r="T214" s="3"/>
      <c r="U214" s="3"/>
      <c r="V214" s="3"/>
      <c r="W214" s="3"/>
    </row>
    <row r="215" spans="1:23" x14ac:dyDescent="0.25">
      <c r="A215" s="9"/>
      <c r="B215" s="107">
        <v>0</v>
      </c>
      <c r="C215" s="115">
        <v>0</v>
      </c>
      <c r="D215" s="23"/>
      <c r="E215" s="107">
        <v>0</v>
      </c>
      <c r="F215" s="107">
        <v>0</v>
      </c>
      <c r="G215" s="107">
        <v>0</v>
      </c>
      <c r="H215" s="107">
        <v>0</v>
      </c>
      <c r="I215" s="149">
        <v>0</v>
      </c>
      <c r="J215" s="149"/>
      <c r="K215" s="108">
        <v>0</v>
      </c>
      <c r="L215" s="108">
        <v>0</v>
      </c>
      <c r="M215" s="35"/>
      <c r="N215" s="35"/>
      <c r="O215" s="35"/>
      <c r="P215" s="35"/>
      <c r="Q215" s="35"/>
      <c r="R215" s="35"/>
      <c r="S215" s="3"/>
      <c r="T215" s="3"/>
      <c r="U215" s="3"/>
      <c r="V215" s="3"/>
      <c r="W215" s="3"/>
    </row>
    <row r="216" spans="1:23" x14ac:dyDescent="0.25">
      <c r="A216" s="9"/>
      <c r="B216" s="107">
        <v>0</v>
      </c>
      <c r="C216" s="115">
        <v>0</v>
      </c>
      <c r="D216" s="23"/>
      <c r="E216" s="107">
        <v>0</v>
      </c>
      <c r="F216" s="107">
        <v>0</v>
      </c>
      <c r="G216" s="107">
        <v>0</v>
      </c>
      <c r="H216" s="107">
        <v>0</v>
      </c>
      <c r="I216" s="149">
        <v>0</v>
      </c>
      <c r="J216" s="149"/>
      <c r="K216" s="108">
        <v>0</v>
      </c>
      <c r="L216" s="108">
        <v>0</v>
      </c>
      <c r="M216" s="35"/>
      <c r="N216" s="35"/>
      <c r="O216" s="35"/>
      <c r="P216" s="35"/>
      <c r="Q216" s="35"/>
      <c r="R216" s="35"/>
      <c r="S216" s="3"/>
      <c r="T216" s="3"/>
      <c r="U216" s="3"/>
      <c r="V216" s="3"/>
      <c r="W216" s="3"/>
    </row>
    <row r="217" spans="1:23" x14ac:dyDescent="0.25">
      <c r="A217" s="9"/>
      <c r="B217" s="107">
        <v>0</v>
      </c>
      <c r="C217" s="115">
        <v>0</v>
      </c>
      <c r="D217" s="23"/>
      <c r="E217" s="107">
        <v>0</v>
      </c>
      <c r="F217" s="107">
        <v>0</v>
      </c>
      <c r="G217" s="107">
        <v>0</v>
      </c>
      <c r="H217" s="107">
        <v>0</v>
      </c>
      <c r="I217" s="149">
        <v>0</v>
      </c>
      <c r="J217" s="149"/>
      <c r="K217" s="108">
        <v>0</v>
      </c>
      <c r="L217" s="108">
        <v>0</v>
      </c>
      <c r="M217" s="35"/>
      <c r="N217" s="35"/>
      <c r="O217" s="35"/>
      <c r="P217" s="35"/>
      <c r="Q217" s="35"/>
      <c r="R217" s="35"/>
      <c r="S217" s="3"/>
      <c r="T217" s="3"/>
      <c r="U217" s="3"/>
      <c r="V217" s="3"/>
      <c r="W217" s="3"/>
    </row>
    <row r="218" spans="1:23" x14ac:dyDescent="0.25">
      <c r="A218" s="9"/>
      <c r="B218" s="107">
        <v>0</v>
      </c>
      <c r="C218" s="115">
        <v>0</v>
      </c>
      <c r="D218" s="23"/>
      <c r="E218" s="107">
        <v>0</v>
      </c>
      <c r="F218" s="107">
        <v>0</v>
      </c>
      <c r="G218" s="107">
        <v>0</v>
      </c>
      <c r="H218" s="107">
        <v>0</v>
      </c>
      <c r="I218" s="149">
        <v>0</v>
      </c>
      <c r="J218" s="149"/>
      <c r="K218" s="108">
        <v>0</v>
      </c>
      <c r="L218" s="108">
        <v>0</v>
      </c>
      <c r="M218" s="35"/>
      <c r="N218" s="35"/>
      <c r="O218" s="35"/>
      <c r="P218" s="35"/>
      <c r="Q218" s="35"/>
      <c r="R218" s="35"/>
      <c r="S218" s="3"/>
      <c r="T218" s="3"/>
      <c r="U218" s="3"/>
      <c r="V218" s="3"/>
      <c r="W218" s="3"/>
    </row>
    <row r="219" spans="1:23" x14ac:dyDescent="0.25">
      <c r="A219" s="9"/>
      <c r="B219" s="107">
        <v>0</v>
      </c>
      <c r="C219" s="115">
        <v>0</v>
      </c>
      <c r="D219" s="23"/>
      <c r="E219" s="107">
        <v>0</v>
      </c>
      <c r="F219" s="107">
        <v>0</v>
      </c>
      <c r="G219" s="107">
        <v>0</v>
      </c>
      <c r="H219" s="107">
        <v>0</v>
      </c>
      <c r="I219" s="149">
        <v>0</v>
      </c>
      <c r="J219" s="149"/>
      <c r="K219" s="108">
        <v>0</v>
      </c>
      <c r="L219" s="108">
        <v>0</v>
      </c>
      <c r="M219" s="35"/>
      <c r="N219" s="35"/>
      <c r="O219" s="35"/>
      <c r="P219" s="35"/>
      <c r="Q219" s="35"/>
      <c r="R219" s="35"/>
      <c r="S219" s="3"/>
      <c r="T219" s="3"/>
      <c r="U219" s="3"/>
      <c r="V219" s="3"/>
      <c r="W219" s="3"/>
    </row>
    <row r="220" spans="1:23" x14ac:dyDescent="0.25">
      <c r="A220" s="9"/>
      <c r="B220" s="107">
        <v>0</v>
      </c>
      <c r="C220" s="115">
        <v>0</v>
      </c>
      <c r="D220" s="23"/>
      <c r="E220" s="107">
        <v>0</v>
      </c>
      <c r="F220" s="107">
        <v>0</v>
      </c>
      <c r="G220" s="107">
        <v>0</v>
      </c>
      <c r="H220" s="107">
        <v>0</v>
      </c>
      <c r="I220" s="149">
        <v>0</v>
      </c>
      <c r="J220" s="149"/>
      <c r="K220" s="108">
        <v>0</v>
      </c>
      <c r="L220" s="108">
        <v>0</v>
      </c>
      <c r="M220" s="35"/>
      <c r="N220" s="35"/>
      <c r="O220" s="35"/>
      <c r="P220" s="35"/>
      <c r="Q220" s="35"/>
      <c r="R220" s="35"/>
      <c r="S220" s="3"/>
      <c r="T220" s="3"/>
      <c r="U220" s="3"/>
      <c r="V220" s="3"/>
      <c r="W220" s="3"/>
    </row>
    <row r="221" spans="1:23" x14ac:dyDescent="0.25">
      <c r="A221" s="9"/>
      <c r="B221" s="107">
        <v>0</v>
      </c>
      <c r="C221" s="115">
        <v>0</v>
      </c>
      <c r="D221" s="23"/>
      <c r="E221" s="107">
        <v>0</v>
      </c>
      <c r="F221" s="107">
        <v>0</v>
      </c>
      <c r="G221" s="107">
        <v>0</v>
      </c>
      <c r="H221" s="107">
        <v>0</v>
      </c>
      <c r="I221" s="149">
        <v>0</v>
      </c>
      <c r="J221" s="149"/>
      <c r="K221" s="108">
        <v>0</v>
      </c>
      <c r="L221" s="108">
        <v>0</v>
      </c>
      <c r="M221" s="35"/>
      <c r="N221" s="35"/>
      <c r="O221" s="35"/>
      <c r="P221" s="35"/>
      <c r="Q221" s="35"/>
      <c r="R221" s="35"/>
      <c r="S221" s="3"/>
      <c r="T221" s="3"/>
      <c r="U221" s="3"/>
      <c r="V221" s="3"/>
      <c r="W221" s="3"/>
    </row>
    <row r="222" spans="1:23" x14ac:dyDescent="0.25">
      <c r="A222" s="9"/>
      <c r="B222" s="107">
        <v>0</v>
      </c>
      <c r="C222" s="115">
        <v>0</v>
      </c>
      <c r="D222" s="23"/>
      <c r="E222" s="107">
        <v>0</v>
      </c>
      <c r="F222" s="107">
        <v>0</v>
      </c>
      <c r="G222" s="107">
        <v>0</v>
      </c>
      <c r="H222" s="107">
        <v>0</v>
      </c>
      <c r="I222" s="149">
        <v>0</v>
      </c>
      <c r="J222" s="149"/>
      <c r="K222" s="108">
        <v>0</v>
      </c>
      <c r="L222" s="108">
        <v>0</v>
      </c>
      <c r="M222" s="35"/>
      <c r="N222" s="35"/>
      <c r="O222" s="35"/>
      <c r="P222" s="35"/>
      <c r="Q222" s="35"/>
      <c r="R222" s="35"/>
      <c r="S222" s="3"/>
      <c r="T222" s="3"/>
      <c r="U222" s="3"/>
      <c r="V222" s="3"/>
      <c r="W222" s="3"/>
    </row>
    <row r="223" spans="1:23" x14ac:dyDescent="0.25">
      <c r="A223" s="9"/>
      <c r="B223" s="107">
        <v>0</v>
      </c>
      <c r="C223" s="115">
        <v>0</v>
      </c>
      <c r="D223" s="23"/>
      <c r="E223" s="107">
        <v>0</v>
      </c>
      <c r="F223" s="107">
        <v>0</v>
      </c>
      <c r="G223" s="107">
        <v>0</v>
      </c>
      <c r="H223" s="107">
        <v>0</v>
      </c>
      <c r="I223" s="149">
        <v>0</v>
      </c>
      <c r="J223" s="149"/>
      <c r="K223" s="108">
        <v>0</v>
      </c>
      <c r="L223" s="108">
        <v>0</v>
      </c>
      <c r="M223" s="35"/>
      <c r="N223" s="35"/>
      <c r="O223" s="35"/>
      <c r="P223" s="35"/>
      <c r="Q223" s="35"/>
      <c r="R223" s="35"/>
      <c r="S223" s="3"/>
      <c r="T223" s="3"/>
      <c r="U223" s="3"/>
      <c r="V223" s="3"/>
      <c r="W223" s="3"/>
    </row>
    <row r="224" spans="1:23" x14ac:dyDescent="0.25">
      <c r="B224" s="110">
        <v>0</v>
      </c>
      <c r="C224" s="121"/>
      <c r="D224" s="3"/>
      <c r="E224" s="110"/>
      <c r="F224" s="110"/>
      <c r="G224" s="110"/>
      <c r="H224" s="110"/>
      <c r="I224" s="110"/>
      <c r="J224" s="110"/>
      <c r="K224" s="111"/>
      <c r="L224" s="111"/>
      <c r="M224" s="35"/>
      <c r="N224" s="35"/>
      <c r="O224" s="35"/>
      <c r="P224" s="35"/>
      <c r="Q224" s="35"/>
      <c r="R224" s="35"/>
      <c r="S224" s="3"/>
      <c r="T224" s="3"/>
      <c r="U224" s="3"/>
      <c r="V224" s="3"/>
      <c r="W224" s="3"/>
    </row>
    <row r="225" spans="1:23" x14ac:dyDescent="0.25">
      <c r="B225" s="110">
        <v>0</v>
      </c>
      <c r="C225" s="3"/>
      <c r="D225" s="3"/>
      <c r="E225" s="3"/>
      <c r="F225" s="35"/>
      <c r="G225" s="35"/>
      <c r="H225" s="35"/>
      <c r="I225" s="35"/>
      <c r="J225" s="35"/>
      <c r="K225" s="35"/>
      <c r="L225" s="35"/>
      <c r="M225" s="35"/>
      <c r="N225" s="35"/>
      <c r="O225" s="35"/>
      <c r="P225" s="35"/>
      <c r="Q225" s="35"/>
      <c r="R225" s="35"/>
      <c r="S225" s="3"/>
      <c r="T225" s="3"/>
      <c r="U225" s="3"/>
      <c r="V225" s="3"/>
      <c r="W225" s="3"/>
    </row>
    <row r="226" spans="1:23" x14ac:dyDescent="0.25">
      <c r="A226" s="9"/>
      <c r="B226" s="80" t="s">
        <v>161</v>
      </c>
      <c r="C226" s="23"/>
      <c r="D226" s="23"/>
      <c r="E226" s="80" t="s">
        <v>161</v>
      </c>
      <c r="F226" s="81"/>
      <c r="G226" s="81"/>
      <c r="H226" s="81"/>
      <c r="I226" s="147" t="s">
        <v>161</v>
      </c>
      <c r="J226" s="147"/>
      <c r="K226" s="81"/>
      <c r="L226" s="81"/>
      <c r="M226" s="35"/>
      <c r="N226" s="35"/>
      <c r="O226" s="35"/>
      <c r="P226" s="35"/>
      <c r="Q226" s="35"/>
      <c r="R226" s="35"/>
      <c r="S226" s="3"/>
      <c r="T226" s="3"/>
      <c r="U226" s="3"/>
      <c r="V226" s="3"/>
      <c r="W226" s="3"/>
    </row>
    <row r="227" spans="1:23" x14ac:dyDescent="0.25">
      <c r="A227" s="19" t="s">
        <v>116</v>
      </c>
      <c r="B227" s="82" t="s">
        <v>110</v>
      </c>
      <c r="C227" s="82" t="s">
        <v>73</v>
      </c>
      <c r="D227" s="113" t="s">
        <v>116</v>
      </c>
      <c r="E227" s="82" t="s">
        <v>112</v>
      </c>
      <c r="F227" s="82" t="s">
        <v>113</v>
      </c>
      <c r="G227" s="82" t="s">
        <v>114</v>
      </c>
      <c r="H227" s="82" t="s">
        <v>115</v>
      </c>
      <c r="I227" s="148" t="s">
        <v>117</v>
      </c>
      <c r="J227" s="148"/>
      <c r="K227" s="85" t="s">
        <v>119</v>
      </c>
      <c r="L227" s="85" t="s">
        <v>120</v>
      </c>
      <c r="M227" s="35"/>
      <c r="N227" s="35"/>
      <c r="O227" s="35"/>
      <c r="P227" s="35"/>
      <c r="Q227" s="35"/>
      <c r="R227" s="35"/>
      <c r="S227" s="3"/>
      <c r="T227" s="3"/>
      <c r="U227" s="3"/>
      <c r="V227" s="3"/>
      <c r="W227" s="3"/>
    </row>
    <row r="228" spans="1:23" x14ac:dyDescent="0.25">
      <c r="A228" s="9"/>
      <c r="B228" s="107" t="s">
        <v>162</v>
      </c>
      <c r="C228" s="115">
        <v>2</v>
      </c>
      <c r="D228" s="23"/>
      <c r="E228" s="107" t="s">
        <v>162</v>
      </c>
      <c r="F228" s="115">
        <v>0.5</v>
      </c>
      <c r="G228" s="115">
        <v>1</v>
      </c>
      <c r="H228" s="115">
        <v>1.5</v>
      </c>
      <c r="I228" s="143" t="s">
        <v>162</v>
      </c>
      <c r="J228" s="144"/>
      <c r="K228" s="115">
        <v>1</v>
      </c>
      <c r="L228" s="108">
        <v>0</v>
      </c>
      <c r="M228" s="35"/>
      <c r="N228" s="35"/>
      <c r="O228" s="35"/>
      <c r="P228" s="35"/>
      <c r="Q228" s="35"/>
      <c r="R228" s="35"/>
      <c r="S228" s="3"/>
      <c r="T228" s="3"/>
      <c r="U228" s="3"/>
      <c r="V228" s="3"/>
      <c r="W228" s="3"/>
    </row>
    <row r="229" spans="1:23" x14ac:dyDescent="0.25">
      <c r="A229" s="9"/>
      <c r="B229" s="107" t="s">
        <v>163</v>
      </c>
      <c r="C229" s="115">
        <v>1</v>
      </c>
      <c r="D229" s="23"/>
      <c r="E229" s="107" t="s">
        <v>163</v>
      </c>
      <c r="F229" s="115">
        <v>0</v>
      </c>
      <c r="G229" s="115">
        <v>0</v>
      </c>
      <c r="H229" s="115">
        <v>0</v>
      </c>
      <c r="I229" s="143" t="s">
        <v>163</v>
      </c>
      <c r="J229" s="144"/>
      <c r="K229" s="115">
        <v>0</v>
      </c>
      <c r="L229" s="108">
        <v>0</v>
      </c>
      <c r="M229" s="35"/>
      <c r="N229" s="35"/>
      <c r="O229" s="35"/>
      <c r="P229" s="35"/>
      <c r="Q229" s="35"/>
      <c r="R229" s="35"/>
      <c r="S229" s="3"/>
      <c r="T229" s="3"/>
      <c r="U229" s="3"/>
      <c r="V229" s="3"/>
      <c r="W229" s="3"/>
    </row>
    <row r="230" spans="1:23" x14ac:dyDescent="0.25">
      <c r="A230" s="9"/>
      <c r="B230" s="107" t="s">
        <v>164</v>
      </c>
      <c r="C230" s="115">
        <v>1</v>
      </c>
      <c r="D230" s="23"/>
      <c r="E230" s="107" t="s">
        <v>164</v>
      </c>
      <c r="F230" s="115">
        <v>0</v>
      </c>
      <c r="G230" s="115">
        <v>0</v>
      </c>
      <c r="H230" s="115">
        <v>0</v>
      </c>
      <c r="I230" s="143" t="s">
        <v>164</v>
      </c>
      <c r="J230" s="144"/>
      <c r="K230" s="115">
        <v>0</v>
      </c>
      <c r="L230" s="108">
        <v>0</v>
      </c>
      <c r="M230" s="35"/>
      <c r="N230" s="35"/>
      <c r="O230" s="35"/>
      <c r="P230" s="35"/>
      <c r="Q230" s="35"/>
      <c r="R230" s="35"/>
      <c r="S230" s="3"/>
      <c r="T230" s="3"/>
      <c r="U230" s="3"/>
      <c r="V230" s="3"/>
      <c r="W230" s="3"/>
    </row>
    <row r="231" spans="1:23" x14ac:dyDescent="0.25">
      <c r="A231" s="9"/>
      <c r="B231" s="107" t="s">
        <v>153</v>
      </c>
      <c r="C231" s="115">
        <v>3</v>
      </c>
      <c r="D231" s="23"/>
      <c r="E231" s="107" t="s">
        <v>153</v>
      </c>
      <c r="F231" s="115">
        <v>1</v>
      </c>
      <c r="G231" s="115">
        <v>1.5</v>
      </c>
      <c r="H231" s="115">
        <v>2</v>
      </c>
      <c r="I231" s="143" t="s">
        <v>153</v>
      </c>
      <c r="J231" s="144"/>
      <c r="K231" s="115">
        <v>0</v>
      </c>
      <c r="L231" s="108">
        <v>0</v>
      </c>
      <c r="M231" s="35"/>
      <c r="N231" s="35"/>
      <c r="O231" s="35"/>
      <c r="P231" s="35"/>
      <c r="Q231" s="35"/>
      <c r="R231" s="35"/>
      <c r="S231" s="3"/>
      <c r="T231" s="3"/>
      <c r="U231" s="3"/>
      <c r="V231" s="3"/>
      <c r="W231" s="3"/>
    </row>
    <row r="232" spans="1:23" x14ac:dyDescent="0.25">
      <c r="A232" s="9"/>
      <c r="B232" s="107">
        <v>0</v>
      </c>
      <c r="C232" s="115">
        <v>0</v>
      </c>
      <c r="D232" s="23"/>
      <c r="E232" s="107">
        <v>0</v>
      </c>
      <c r="F232" s="107">
        <v>0</v>
      </c>
      <c r="G232" s="107">
        <v>0</v>
      </c>
      <c r="H232" s="107">
        <v>0</v>
      </c>
      <c r="I232" s="143">
        <v>0</v>
      </c>
      <c r="J232" s="144"/>
      <c r="K232" s="107">
        <v>0</v>
      </c>
      <c r="L232" s="107">
        <v>0</v>
      </c>
      <c r="M232" s="35"/>
      <c r="N232" s="35"/>
      <c r="O232" s="35"/>
      <c r="P232" s="35"/>
      <c r="Q232" s="35"/>
      <c r="R232" s="35"/>
      <c r="S232" s="3"/>
      <c r="T232" s="3"/>
      <c r="U232" s="3"/>
      <c r="V232" s="3"/>
      <c r="W232" s="3"/>
    </row>
    <row r="233" spans="1:23" x14ac:dyDescent="0.25">
      <c r="A233" s="9"/>
      <c r="B233" s="107">
        <v>0</v>
      </c>
      <c r="C233" s="115">
        <v>0</v>
      </c>
      <c r="D233" s="23"/>
      <c r="E233" s="107">
        <v>0</v>
      </c>
      <c r="F233" s="107">
        <v>0</v>
      </c>
      <c r="G233" s="107">
        <v>0</v>
      </c>
      <c r="H233" s="107">
        <v>0</v>
      </c>
      <c r="I233" s="143">
        <v>0</v>
      </c>
      <c r="J233" s="144"/>
      <c r="K233" s="107">
        <v>0</v>
      </c>
      <c r="L233" s="107">
        <v>0</v>
      </c>
      <c r="M233" s="35"/>
      <c r="N233" s="35"/>
      <c r="O233" s="35"/>
      <c r="P233" s="35"/>
      <c r="Q233" s="35"/>
      <c r="R233" s="35"/>
      <c r="S233" s="3"/>
      <c r="T233" s="3"/>
      <c r="U233" s="3"/>
      <c r="V233" s="3"/>
      <c r="W233" s="3"/>
    </row>
    <row r="234" spans="1:23" x14ac:dyDescent="0.25">
      <c r="A234" s="9"/>
      <c r="B234" s="107">
        <v>0</v>
      </c>
      <c r="C234" s="115">
        <v>0</v>
      </c>
      <c r="D234" s="23"/>
      <c r="E234" s="107">
        <v>0</v>
      </c>
      <c r="F234" s="107">
        <v>0</v>
      </c>
      <c r="G234" s="107">
        <v>0</v>
      </c>
      <c r="H234" s="107">
        <v>0</v>
      </c>
      <c r="I234" s="143">
        <v>0</v>
      </c>
      <c r="J234" s="144"/>
      <c r="K234" s="107">
        <v>0</v>
      </c>
      <c r="L234" s="107">
        <v>0</v>
      </c>
      <c r="M234" s="35"/>
      <c r="N234" s="35"/>
      <c r="O234" s="35"/>
      <c r="P234" s="35"/>
      <c r="Q234" s="35"/>
      <c r="R234" s="35"/>
      <c r="S234" s="3"/>
      <c r="T234" s="3"/>
      <c r="U234" s="3"/>
      <c r="V234" s="3"/>
      <c r="W234" s="3"/>
    </row>
    <row r="235" spans="1:23" x14ac:dyDescent="0.25">
      <c r="A235" s="9"/>
      <c r="B235" s="107">
        <v>0</v>
      </c>
      <c r="C235" s="115">
        <v>0</v>
      </c>
      <c r="D235" s="23"/>
      <c r="E235" s="107">
        <v>0</v>
      </c>
      <c r="F235" s="107">
        <v>0</v>
      </c>
      <c r="G235" s="107">
        <v>0</v>
      </c>
      <c r="H235" s="107">
        <v>0</v>
      </c>
      <c r="I235" s="143">
        <v>0</v>
      </c>
      <c r="J235" s="144"/>
      <c r="K235" s="107">
        <v>0</v>
      </c>
      <c r="L235" s="107">
        <v>0</v>
      </c>
      <c r="M235" s="35"/>
      <c r="N235" s="35"/>
      <c r="O235" s="35"/>
      <c r="P235" s="35"/>
      <c r="Q235" s="35"/>
      <c r="R235" s="35"/>
      <c r="S235" s="3"/>
      <c r="T235" s="3"/>
      <c r="U235" s="3"/>
      <c r="V235" s="3"/>
      <c r="W235" s="3"/>
    </row>
    <row r="236" spans="1:23" x14ac:dyDescent="0.25">
      <c r="A236" s="9"/>
      <c r="B236" s="107">
        <v>0</v>
      </c>
      <c r="C236" s="115">
        <v>0</v>
      </c>
      <c r="D236" s="23"/>
      <c r="E236" s="107">
        <v>0</v>
      </c>
      <c r="F236" s="107">
        <v>0</v>
      </c>
      <c r="G236" s="107">
        <v>0</v>
      </c>
      <c r="H236" s="107">
        <v>0</v>
      </c>
      <c r="I236" s="143">
        <v>0</v>
      </c>
      <c r="J236" s="144"/>
      <c r="K236" s="107">
        <v>0</v>
      </c>
      <c r="L236" s="107">
        <v>0</v>
      </c>
      <c r="M236" s="35"/>
      <c r="N236" s="35"/>
      <c r="O236" s="35"/>
      <c r="P236" s="35"/>
      <c r="Q236" s="35"/>
      <c r="R236" s="35"/>
      <c r="S236" s="3"/>
      <c r="T236" s="3"/>
      <c r="U236" s="3"/>
      <c r="V236" s="3"/>
      <c r="W236" s="3"/>
    </row>
    <row r="237" spans="1:23" x14ac:dyDescent="0.25">
      <c r="A237" s="9"/>
      <c r="B237" s="107">
        <v>0</v>
      </c>
      <c r="C237" s="115">
        <v>0</v>
      </c>
      <c r="D237" s="23"/>
      <c r="E237" s="107">
        <v>0</v>
      </c>
      <c r="F237" s="107">
        <v>0</v>
      </c>
      <c r="G237" s="107">
        <v>0</v>
      </c>
      <c r="H237" s="107">
        <v>0</v>
      </c>
      <c r="I237" s="143">
        <v>0</v>
      </c>
      <c r="J237" s="144"/>
      <c r="K237" s="107">
        <v>0</v>
      </c>
      <c r="L237" s="107">
        <v>0</v>
      </c>
      <c r="M237" s="35"/>
      <c r="N237" s="35"/>
      <c r="O237" s="35"/>
      <c r="P237" s="35"/>
      <c r="Q237" s="35"/>
      <c r="R237" s="35"/>
      <c r="S237" s="3"/>
      <c r="T237" s="3"/>
      <c r="U237" s="3"/>
      <c r="V237" s="3"/>
      <c r="W237" s="3"/>
    </row>
    <row r="238" spans="1:23" x14ac:dyDescent="0.25">
      <c r="A238" s="9"/>
      <c r="B238" s="107">
        <v>0</v>
      </c>
      <c r="C238" s="115">
        <v>0</v>
      </c>
      <c r="D238" s="23"/>
      <c r="E238" s="107">
        <v>0</v>
      </c>
      <c r="F238" s="107">
        <v>0</v>
      </c>
      <c r="G238" s="107">
        <v>0</v>
      </c>
      <c r="H238" s="107">
        <v>0</v>
      </c>
      <c r="I238" s="143">
        <v>0</v>
      </c>
      <c r="J238" s="144"/>
      <c r="K238" s="107">
        <v>0</v>
      </c>
      <c r="L238" s="107">
        <v>0</v>
      </c>
      <c r="M238" s="35"/>
      <c r="N238" s="35"/>
      <c r="O238" s="35"/>
      <c r="P238" s="35"/>
      <c r="Q238" s="35"/>
      <c r="R238" s="35"/>
      <c r="S238" s="3"/>
      <c r="T238" s="3"/>
      <c r="U238" s="3"/>
      <c r="V238" s="3"/>
      <c r="W238" s="3"/>
    </row>
    <row r="239" spans="1:23" x14ac:dyDescent="0.25">
      <c r="A239" s="9"/>
      <c r="B239" s="107">
        <v>0</v>
      </c>
      <c r="C239" s="115">
        <v>0</v>
      </c>
      <c r="D239" s="23"/>
      <c r="E239" s="107">
        <v>0</v>
      </c>
      <c r="F239" s="107">
        <v>0</v>
      </c>
      <c r="G239" s="107">
        <v>0</v>
      </c>
      <c r="H239" s="107">
        <v>0</v>
      </c>
      <c r="I239" s="143">
        <v>0</v>
      </c>
      <c r="J239" s="144"/>
      <c r="K239" s="107">
        <v>0</v>
      </c>
      <c r="L239" s="107">
        <v>0</v>
      </c>
      <c r="M239" s="35"/>
      <c r="N239" s="35"/>
      <c r="O239" s="35"/>
      <c r="P239" s="35"/>
      <c r="Q239" s="35"/>
      <c r="R239" s="35"/>
      <c r="S239" s="3"/>
      <c r="T239" s="3"/>
      <c r="U239" s="3"/>
      <c r="V239" s="3"/>
      <c r="W239" s="3"/>
    </row>
    <row r="240" spans="1:23" x14ac:dyDescent="0.25">
      <c r="A240" s="9"/>
      <c r="B240" s="107">
        <v>0</v>
      </c>
      <c r="C240" s="115">
        <v>0</v>
      </c>
      <c r="D240" s="23"/>
      <c r="E240" s="107">
        <v>0</v>
      </c>
      <c r="F240" s="107">
        <v>0</v>
      </c>
      <c r="G240" s="107">
        <v>0</v>
      </c>
      <c r="H240" s="107">
        <v>0</v>
      </c>
      <c r="I240" s="143">
        <v>0</v>
      </c>
      <c r="J240" s="144"/>
      <c r="K240" s="107">
        <v>0</v>
      </c>
      <c r="L240" s="107">
        <v>0</v>
      </c>
      <c r="M240" s="35"/>
      <c r="N240" s="35"/>
      <c r="O240" s="35"/>
      <c r="P240" s="35"/>
      <c r="Q240" s="35"/>
      <c r="R240" s="35"/>
      <c r="S240" s="3"/>
      <c r="T240" s="3"/>
      <c r="U240" s="3"/>
      <c r="V240" s="3"/>
      <c r="W240" s="3"/>
    </row>
    <row r="241" spans="1:23" x14ac:dyDescent="0.25">
      <c r="A241" s="9"/>
      <c r="B241" s="107">
        <v>0</v>
      </c>
      <c r="C241" s="115">
        <v>0</v>
      </c>
      <c r="D241" s="23"/>
      <c r="E241" s="107">
        <v>0</v>
      </c>
      <c r="F241" s="107">
        <v>0</v>
      </c>
      <c r="G241" s="107">
        <v>0</v>
      </c>
      <c r="H241" s="107">
        <v>0</v>
      </c>
      <c r="I241" s="143">
        <v>0</v>
      </c>
      <c r="J241" s="144"/>
      <c r="K241" s="107">
        <v>0</v>
      </c>
      <c r="L241" s="107">
        <v>0</v>
      </c>
      <c r="M241" s="35"/>
      <c r="N241" s="35"/>
      <c r="O241" s="35"/>
      <c r="P241" s="35"/>
      <c r="Q241" s="35"/>
      <c r="R241" s="35"/>
      <c r="S241" s="3"/>
      <c r="T241" s="3"/>
      <c r="U241" s="3"/>
      <c r="V241" s="3"/>
      <c r="W241" s="3"/>
    </row>
    <row r="242" spans="1:23" x14ac:dyDescent="0.25">
      <c r="A242" s="9"/>
      <c r="B242" s="107">
        <v>0</v>
      </c>
      <c r="C242" s="115">
        <v>0</v>
      </c>
      <c r="D242" s="23"/>
      <c r="E242" s="107">
        <v>0</v>
      </c>
      <c r="F242" s="107">
        <v>0</v>
      </c>
      <c r="G242" s="107">
        <v>0</v>
      </c>
      <c r="H242" s="107">
        <v>0</v>
      </c>
      <c r="I242" s="143">
        <v>0</v>
      </c>
      <c r="J242" s="144"/>
      <c r="K242" s="107">
        <v>0</v>
      </c>
      <c r="L242" s="107">
        <v>0</v>
      </c>
      <c r="M242" s="35"/>
      <c r="N242" s="35"/>
      <c r="O242" s="35"/>
      <c r="P242" s="35"/>
      <c r="Q242" s="35"/>
      <c r="R242" s="35"/>
      <c r="S242" s="3"/>
      <c r="T242" s="3"/>
      <c r="U242" s="3"/>
      <c r="V242" s="3"/>
      <c r="W242" s="3"/>
    </row>
    <row r="243" spans="1:23" x14ac:dyDescent="0.25">
      <c r="A243" s="9"/>
      <c r="B243" s="107">
        <v>0</v>
      </c>
      <c r="C243" s="115">
        <v>0</v>
      </c>
      <c r="D243" s="23"/>
      <c r="E243" s="107">
        <v>0</v>
      </c>
      <c r="F243" s="107">
        <v>0</v>
      </c>
      <c r="G243" s="107">
        <v>0</v>
      </c>
      <c r="H243" s="107">
        <v>0</v>
      </c>
      <c r="I243" s="143">
        <v>0</v>
      </c>
      <c r="J243" s="144"/>
      <c r="K243" s="107">
        <v>0</v>
      </c>
      <c r="L243" s="107">
        <v>0</v>
      </c>
      <c r="M243" s="35"/>
      <c r="N243" s="35"/>
      <c r="O243" s="35"/>
      <c r="P243" s="35"/>
      <c r="Q243" s="35"/>
      <c r="R243" s="35"/>
      <c r="S243" s="3"/>
      <c r="T243" s="3"/>
      <c r="U243" s="3"/>
      <c r="V243" s="3"/>
      <c r="W243" s="3"/>
    </row>
    <row r="244" spans="1:23" x14ac:dyDescent="0.25">
      <c r="A244" s="9"/>
      <c r="B244" s="107">
        <v>0</v>
      </c>
      <c r="C244" s="115">
        <v>0</v>
      </c>
      <c r="D244" s="23"/>
      <c r="E244" s="107">
        <v>0</v>
      </c>
      <c r="F244" s="107">
        <v>0</v>
      </c>
      <c r="G244" s="107">
        <v>0</v>
      </c>
      <c r="H244" s="107">
        <v>0</v>
      </c>
      <c r="I244" s="143">
        <v>0</v>
      </c>
      <c r="J244" s="144"/>
      <c r="K244" s="107">
        <v>0</v>
      </c>
      <c r="L244" s="107">
        <v>0</v>
      </c>
      <c r="M244" s="35"/>
      <c r="N244" s="35"/>
      <c r="O244" s="35"/>
      <c r="P244" s="35"/>
      <c r="Q244" s="35"/>
      <c r="R244" s="35"/>
      <c r="S244" s="3"/>
      <c r="T244" s="3"/>
      <c r="U244" s="3"/>
      <c r="V244" s="3"/>
      <c r="W244" s="3"/>
    </row>
    <row r="245" spans="1:23" x14ac:dyDescent="0.25">
      <c r="A245" s="9"/>
      <c r="B245" s="107">
        <v>0</v>
      </c>
      <c r="C245" s="115">
        <v>0</v>
      </c>
      <c r="D245" s="23"/>
      <c r="E245" s="107">
        <v>0</v>
      </c>
      <c r="F245" s="107">
        <v>0</v>
      </c>
      <c r="G245" s="107">
        <v>0</v>
      </c>
      <c r="H245" s="107">
        <v>0</v>
      </c>
      <c r="I245" s="143">
        <v>0</v>
      </c>
      <c r="J245" s="144"/>
      <c r="K245" s="107">
        <v>0</v>
      </c>
      <c r="L245" s="107">
        <v>0</v>
      </c>
      <c r="M245" s="35"/>
      <c r="N245" s="35"/>
      <c r="O245" s="35"/>
      <c r="P245" s="35"/>
      <c r="Q245" s="35"/>
      <c r="R245" s="35"/>
      <c r="S245" s="3"/>
      <c r="T245" s="3"/>
      <c r="U245" s="3"/>
      <c r="V245" s="3"/>
      <c r="W245" s="3"/>
    </row>
    <row r="246" spans="1:23" x14ac:dyDescent="0.25">
      <c r="A246" s="9"/>
      <c r="B246" s="107">
        <v>0</v>
      </c>
      <c r="C246" s="115">
        <v>0</v>
      </c>
      <c r="D246" s="23"/>
      <c r="E246" s="107">
        <v>0</v>
      </c>
      <c r="F246" s="107">
        <v>0</v>
      </c>
      <c r="G246" s="107">
        <v>0</v>
      </c>
      <c r="H246" s="107">
        <v>0</v>
      </c>
      <c r="I246" s="143">
        <v>0</v>
      </c>
      <c r="J246" s="144"/>
      <c r="K246" s="107">
        <v>0</v>
      </c>
      <c r="L246" s="107">
        <v>0</v>
      </c>
      <c r="M246" s="35"/>
      <c r="N246" s="35"/>
      <c r="O246" s="35"/>
      <c r="P246" s="35"/>
      <c r="Q246" s="35"/>
      <c r="R246" s="35"/>
      <c r="S246" s="3"/>
      <c r="T246" s="3"/>
      <c r="U246" s="3"/>
      <c r="V246" s="3"/>
      <c r="W246" s="3"/>
    </row>
    <row r="247" spans="1:23" x14ac:dyDescent="0.25">
      <c r="A247" s="9"/>
      <c r="B247" s="107">
        <v>0</v>
      </c>
      <c r="C247" s="115">
        <v>0</v>
      </c>
      <c r="D247" s="23"/>
      <c r="E247" s="107">
        <v>0</v>
      </c>
      <c r="F247" s="107">
        <v>0</v>
      </c>
      <c r="G247" s="107">
        <v>0</v>
      </c>
      <c r="H247" s="107">
        <v>0</v>
      </c>
      <c r="I247" s="143">
        <v>0</v>
      </c>
      <c r="J247" s="144"/>
      <c r="K247" s="107">
        <v>0</v>
      </c>
      <c r="L247" s="107">
        <v>0</v>
      </c>
      <c r="M247" s="35"/>
      <c r="N247" s="35"/>
      <c r="O247" s="35"/>
      <c r="P247" s="35"/>
      <c r="Q247" s="35"/>
      <c r="R247" s="35"/>
      <c r="S247" s="3"/>
      <c r="T247" s="3"/>
      <c r="U247" s="3"/>
      <c r="V247" s="3"/>
      <c r="W247" s="3"/>
    </row>
    <row r="248" spans="1:23" x14ac:dyDescent="0.25">
      <c r="A248" s="9"/>
      <c r="B248" s="107">
        <v>0</v>
      </c>
      <c r="C248" s="115">
        <v>0</v>
      </c>
      <c r="D248" s="23"/>
      <c r="E248" s="107">
        <v>0</v>
      </c>
      <c r="F248" s="107">
        <v>0</v>
      </c>
      <c r="G248" s="107">
        <v>0</v>
      </c>
      <c r="H248" s="107">
        <v>0</v>
      </c>
      <c r="I248" s="143">
        <v>0</v>
      </c>
      <c r="J248" s="144"/>
      <c r="K248" s="107">
        <v>0</v>
      </c>
      <c r="L248" s="107">
        <v>0</v>
      </c>
      <c r="M248" s="35"/>
      <c r="N248" s="35"/>
      <c r="O248" s="35"/>
      <c r="P248" s="35"/>
      <c r="Q248" s="35"/>
      <c r="R248" s="35"/>
      <c r="S248" s="3"/>
      <c r="T248" s="3"/>
      <c r="U248" s="3"/>
      <c r="V248" s="3"/>
      <c r="W248" s="3"/>
    </row>
    <row r="249" spans="1:23" x14ac:dyDescent="0.25">
      <c r="A249" s="9"/>
      <c r="B249" s="107">
        <v>0</v>
      </c>
      <c r="C249" s="115">
        <v>0</v>
      </c>
      <c r="D249" s="23"/>
      <c r="E249" s="107">
        <v>0</v>
      </c>
      <c r="F249" s="107">
        <v>0</v>
      </c>
      <c r="G249" s="107">
        <v>0</v>
      </c>
      <c r="H249" s="107">
        <v>0</v>
      </c>
      <c r="I249" s="143">
        <v>0</v>
      </c>
      <c r="J249" s="144"/>
      <c r="K249" s="107">
        <v>0</v>
      </c>
      <c r="L249" s="107">
        <v>0</v>
      </c>
      <c r="M249" s="35"/>
      <c r="N249" s="35"/>
      <c r="O249" s="35"/>
      <c r="P249" s="35"/>
      <c r="Q249" s="35"/>
      <c r="R249" s="35"/>
      <c r="S249" s="3"/>
      <c r="T249" s="3"/>
      <c r="U249" s="3"/>
      <c r="V249" s="3"/>
      <c r="W249" s="3"/>
    </row>
    <row r="250" spans="1:23" x14ac:dyDescent="0.25">
      <c r="A250" s="9"/>
      <c r="B250" s="107">
        <v>0</v>
      </c>
      <c r="C250" s="115">
        <v>0</v>
      </c>
      <c r="D250" s="23"/>
      <c r="E250" s="107">
        <v>0</v>
      </c>
      <c r="F250" s="107">
        <v>0</v>
      </c>
      <c r="G250" s="107">
        <v>0</v>
      </c>
      <c r="H250" s="107">
        <v>0</v>
      </c>
      <c r="I250" s="143">
        <v>0</v>
      </c>
      <c r="J250" s="144"/>
      <c r="K250" s="107">
        <v>0</v>
      </c>
      <c r="L250" s="107">
        <v>0</v>
      </c>
      <c r="M250" s="35"/>
      <c r="N250" s="35"/>
      <c r="O250" s="35"/>
      <c r="P250" s="35"/>
      <c r="Q250" s="35"/>
      <c r="R250" s="35"/>
      <c r="S250" s="3"/>
      <c r="T250" s="3"/>
      <c r="U250" s="3"/>
      <c r="V250" s="3"/>
      <c r="W250" s="3"/>
    </row>
    <row r="251" spans="1:23" x14ac:dyDescent="0.25">
      <c r="A251" s="9"/>
      <c r="B251" s="107">
        <v>0</v>
      </c>
      <c r="C251" s="115">
        <v>0</v>
      </c>
      <c r="D251" s="23"/>
      <c r="E251" s="107">
        <v>0</v>
      </c>
      <c r="F251" s="107">
        <v>0</v>
      </c>
      <c r="G251" s="107">
        <v>0</v>
      </c>
      <c r="H251" s="107">
        <v>0</v>
      </c>
      <c r="I251" s="143">
        <v>0</v>
      </c>
      <c r="J251" s="144"/>
      <c r="K251" s="107">
        <v>0</v>
      </c>
      <c r="L251" s="107">
        <v>0</v>
      </c>
      <c r="M251" s="35"/>
      <c r="N251" s="35"/>
      <c r="O251" s="35"/>
      <c r="P251" s="35"/>
      <c r="Q251" s="35"/>
      <c r="R251" s="35"/>
      <c r="S251" s="3"/>
      <c r="T251" s="3"/>
      <c r="U251" s="3"/>
      <c r="V251" s="3"/>
      <c r="W251" s="3"/>
    </row>
    <row r="252" spans="1:23" x14ac:dyDescent="0.25">
      <c r="A252" s="9"/>
      <c r="B252" s="107">
        <v>0</v>
      </c>
      <c r="C252" s="115">
        <v>0</v>
      </c>
      <c r="D252" s="23"/>
      <c r="E252" s="107">
        <v>0</v>
      </c>
      <c r="F252" s="107">
        <v>0</v>
      </c>
      <c r="G252" s="107">
        <v>0</v>
      </c>
      <c r="H252" s="107">
        <v>0</v>
      </c>
      <c r="I252" s="143">
        <v>0</v>
      </c>
      <c r="J252" s="144"/>
      <c r="K252" s="107">
        <v>0</v>
      </c>
      <c r="L252" s="107">
        <v>0</v>
      </c>
      <c r="M252" s="35"/>
      <c r="N252" s="35"/>
      <c r="O252" s="35"/>
      <c r="P252" s="35"/>
      <c r="Q252" s="35"/>
      <c r="R252" s="35"/>
      <c r="S252" s="3"/>
      <c r="T252" s="3"/>
      <c r="U252" s="3"/>
      <c r="V252" s="3"/>
      <c r="W252" s="3"/>
    </row>
    <row r="253" spans="1:23" x14ac:dyDescent="0.25">
      <c r="A253" s="9"/>
      <c r="B253" s="107">
        <v>0</v>
      </c>
      <c r="C253" s="115">
        <v>0</v>
      </c>
      <c r="D253" s="23"/>
      <c r="E253" s="107">
        <v>0</v>
      </c>
      <c r="F253" s="107">
        <v>0</v>
      </c>
      <c r="G253" s="107">
        <v>0</v>
      </c>
      <c r="H253" s="107">
        <v>0</v>
      </c>
      <c r="I253" s="143">
        <v>0</v>
      </c>
      <c r="J253" s="144"/>
      <c r="K253" s="107">
        <v>0</v>
      </c>
      <c r="L253" s="107">
        <v>0</v>
      </c>
      <c r="M253" s="35"/>
      <c r="N253" s="35"/>
      <c r="O253" s="35"/>
      <c r="P253" s="35"/>
      <c r="Q253" s="35"/>
      <c r="R253" s="35"/>
      <c r="S253" s="3"/>
      <c r="T253" s="3"/>
      <c r="U253" s="3"/>
      <c r="V253" s="3"/>
      <c r="W253" s="3"/>
    </row>
    <row r="254" spans="1:23" x14ac:dyDescent="0.25">
      <c r="A254" s="9"/>
      <c r="B254" s="107">
        <v>0</v>
      </c>
      <c r="C254" s="115">
        <v>0</v>
      </c>
      <c r="D254" s="23"/>
      <c r="E254" s="107">
        <v>0</v>
      </c>
      <c r="F254" s="107">
        <v>0</v>
      </c>
      <c r="G254" s="107">
        <v>0</v>
      </c>
      <c r="H254" s="107">
        <v>0</v>
      </c>
      <c r="I254" s="143">
        <v>0</v>
      </c>
      <c r="J254" s="144"/>
      <c r="K254" s="107">
        <v>0</v>
      </c>
      <c r="L254" s="107">
        <v>0</v>
      </c>
      <c r="M254" s="35"/>
      <c r="N254" s="35"/>
      <c r="O254" s="35"/>
      <c r="P254" s="35"/>
      <c r="Q254" s="35"/>
      <c r="R254" s="35"/>
      <c r="S254" s="3"/>
      <c r="T254" s="3"/>
      <c r="U254" s="3"/>
      <c r="V254" s="3"/>
      <c r="W254" s="3"/>
    </row>
    <row r="255" spans="1:23" x14ac:dyDescent="0.25">
      <c r="A255" s="9"/>
      <c r="B255" s="107">
        <v>0</v>
      </c>
      <c r="C255" s="115">
        <v>0</v>
      </c>
      <c r="D255" s="23"/>
      <c r="E255" s="107">
        <v>0</v>
      </c>
      <c r="F255" s="107">
        <v>0</v>
      </c>
      <c r="G255" s="107">
        <v>0</v>
      </c>
      <c r="H255" s="107">
        <v>0</v>
      </c>
      <c r="I255" s="143">
        <v>0</v>
      </c>
      <c r="J255" s="144"/>
      <c r="K255" s="107">
        <v>0</v>
      </c>
      <c r="L255" s="107">
        <v>0</v>
      </c>
      <c r="M255" s="35"/>
      <c r="N255" s="35"/>
      <c r="O255" s="35"/>
      <c r="P255" s="35"/>
      <c r="Q255" s="35"/>
      <c r="R255" s="35"/>
      <c r="S255" s="3"/>
      <c r="T255" s="3"/>
      <c r="U255" s="3"/>
      <c r="V255" s="3"/>
      <c r="W255" s="3"/>
    </row>
    <row r="256" spans="1:23" x14ac:dyDescent="0.25">
      <c r="A256" s="9"/>
      <c r="B256" s="107">
        <v>0</v>
      </c>
      <c r="C256" s="115">
        <v>0</v>
      </c>
      <c r="D256" s="23"/>
      <c r="E256" s="107">
        <v>0</v>
      </c>
      <c r="F256" s="107">
        <v>0</v>
      </c>
      <c r="G256" s="107">
        <v>0</v>
      </c>
      <c r="H256" s="107">
        <v>0</v>
      </c>
      <c r="I256" s="143">
        <v>0</v>
      </c>
      <c r="J256" s="144"/>
      <c r="K256" s="107">
        <v>0</v>
      </c>
      <c r="L256" s="107">
        <v>0</v>
      </c>
      <c r="M256" s="35"/>
      <c r="N256" s="35"/>
      <c r="O256" s="35"/>
      <c r="P256" s="35"/>
      <c r="Q256" s="35"/>
      <c r="R256" s="35"/>
      <c r="S256" s="3"/>
      <c r="T256" s="3"/>
      <c r="U256" s="3"/>
      <c r="V256" s="3"/>
      <c r="W256" s="3"/>
    </row>
    <row r="257" spans="1:23" x14ac:dyDescent="0.25">
      <c r="A257" s="9"/>
      <c r="B257" s="107">
        <v>0</v>
      </c>
      <c r="C257" s="115">
        <v>0</v>
      </c>
      <c r="D257" s="23"/>
      <c r="E257" s="107">
        <v>0</v>
      </c>
      <c r="F257" s="107">
        <v>0</v>
      </c>
      <c r="G257" s="107">
        <v>0</v>
      </c>
      <c r="H257" s="107">
        <v>0</v>
      </c>
      <c r="I257" s="143">
        <v>0</v>
      </c>
      <c r="J257" s="144"/>
      <c r="K257" s="107">
        <v>0</v>
      </c>
      <c r="L257" s="107">
        <v>0</v>
      </c>
      <c r="M257" s="35"/>
      <c r="N257" s="35"/>
      <c r="O257" s="35"/>
      <c r="P257" s="35"/>
      <c r="Q257" s="35"/>
      <c r="R257" s="35"/>
      <c r="S257" s="3"/>
      <c r="T257" s="3"/>
      <c r="U257" s="3"/>
      <c r="V257" s="3"/>
      <c r="W257" s="3"/>
    </row>
    <row r="258" spans="1:23" x14ac:dyDescent="0.25">
      <c r="A258" s="9"/>
      <c r="B258" s="107">
        <v>0</v>
      </c>
      <c r="C258" s="115">
        <v>0</v>
      </c>
      <c r="D258" s="23"/>
      <c r="E258" s="107">
        <v>0</v>
      </c>
      <c r="F258" s="107">
        <v>0</v>
      </c>
      <c r="G258" s="107">
        <v>0</v>
      </c>
      <c r="H258" s="107">
        <v>0</v>
      </c>
      <c r="I258" s="143">
        <v>0</v>
      </c>
      <c r="J258" s="144"/>
      <c r="K258" s="107">
        <v>0</v>
      </c>
      <c r="L258" s="107">
        <v>0</v>
      </c>
      <c r="M258" s="35"/>
      <c r="N258" s="35"/>
      <c r="O258" s="35"/>
      <c r="P258" s="35"/>
      <c r="Q258" s="35"/>
      <c r="R258" s="35"/>
      <c r="S258" s="3"/>
      <c r="T258" s="3"/>
      <c r="U258" s="3"/>
      <c r="V258" s="3"/>
      <c r="W258" s="3"/>
    </row>
    <row r="259" spans="1:23" x14ac:dyDescent="0.25">
      <c r="A259" s="9"/>
      <c r="B259" s="107">
        <v>0</v>
      </c>
      <c r="C259" s="115">
        <v>0</v>
      </c>
      <c r="D259" s="23"/>
      <c r="E259" s="107">
        <v>0</v>
      </c>
      <c r="F259" s="107">
        <v>0</v>
      </c>
      <c r="G259" s="107">
        <v>0</v>
      </c>
      <c r="H259" s="107">
        <v>0</v>
      </c>
      <c r="I259" s="143">
        <v>0</v>
      </c>
      <c r="J259" s="144"/>
      <c r="K259" s="107">
        <v>0</v>
      </c>
      <c r="L259" s="107">
        <v>0</v>
      </c>
      <c r="M259" s="35"/>
      <c r="N259" s="35"/>
      <c r="O259" s="35"/>
      <c r="P259" s="35"/>
      <c r="Q259" s="35"/>
      <c r="R259" s="35"/>
      <c r="S259" s="3"/>
      <c r="T259" s="3"/>
      <c r="U259" s="3"/>
      <c r="V259" s="3"/>
      <c r="W259" s="3"/>
    </row>
    <row r="260" spans="1:23" x14ac:dyDescent="0.25">
      <c r="B260" s="110"/>
      <c r="C260" s="121"/>
      <c r="D260" s="3"/>
      <c r="E260" s="110"/>
      <c r="F260" s="110"/>
      <c r="G260" s="110"/>
      <c r="H260" s="110"/>
      <c r="I260" s="110"/>
      <c r="J260" s="110"/>
      <c r="K260" s="110"/>
      <c r="L260" s="110"/>
      <c r="M260" s="35"/>
      <c r="N260" s="35"/>
      <c r="O260" s="35"/>
      <c r="P260" s="35"/>
      <c r="Q260" s="35"/>
      <c r="R260" s="35"/>
      <c r="S260" s="3"/>
      <c r="T260" s="3"/>
      <c r="U260" s="3"/>
      <c r="V260" s="3"/>
      <c r="W260" s="3"/>
    </row>
    <row r="261" spans="1:23" x14ac:dyDescent="0.25">
      <c r="B261" s="3"/>
      <c r="C261" s="3"/>
      <c r="D261" s="3"/>
      <c r="E261" s="3"/>
      <c r="F261" s="35"/>
      <c r="G261" s="35"/>
      <c r="H261" s="35"/>
      <c r="I261" s="35"/>
      <c r="J261" s="35"/>
      <c r="K261" s="35"/>
      <c r="L261" s="35"/>
      <c r="M261" s="35"/>
      <c r="N261" s="35"/>
      <c r="O261" s="35"/>
      <c r="P261" s="35"/>
      <c r="Q261" s="35"/>
      <c r="R261" s="35"/>
      <c r="S261" s="3"/>
      <c r="T261" s="3"/>
      <c r="U261" s="3"/>
      <c r="V261" s="3"/>
      <c r="W261" s="3"/>
    </row>
    <row r="262" spans="1:23" x14ac:dyDescent="0.25">
      <c r="A262" s="9"/>
      <c r="B262" s="80" t="s">
        <v>252</v>
      </c>
      <c r="C262" s="23"/>
      <c r="D262" s="23"/>
      <c r="E262" s="80" t="s">
        <v>252</v>
      </c>
      <c r="F262" s="81"/>
      <c r="G262" s="81"/>
      <c r="H262" s="81"/>
      <c r="I262" s="147" t="s">
        <v>252</v>
      </c>
      <c r="J262" s="147"/>
      <c r="K262" s="81"/>
      <c r="L262" s="81"/>
      <c r="M262" s="35"/>
      <c r="N262" s="35"/>
      <c r="O262" s="35"/>
      <c r="P262" s="35"/>
      <c r="Q262" s="35"/>
      <c r="R262" s="35"/>
      <c r="S262" s="3"/>
      <c r="T262" s="3"/>
      <c r="U262" s="3"/>
      <c r="V262" s="3"/>
      <c r="W262" s="3"/>
    </row>
    <row r="263" spans="1:23" x14ac:dyDescent="0.25">
      <c r="A263" s="19" t="s">
        <v>116</v>
      </c>
      <c r="B263" s="82" t="s">
        <v>110</v>
      </c>
      <c r="C263" s="82" t="s">
        <v>73</v>
      </c>
      <c r="D263" s="113" t="s">
        <v>116</v>
      </c>
      <c r="E263" s="82" t="s">
        <v>112</v>
      </c>
      <c r="F263" s="82" t="s">
        <v>113</v>
      </c>
      <c r="G263" s="82" t="s">
        <v>114</v>
      </c>
      <c r="H263" s="82" t="s">
        <v>115</v>
      </c>
      <c r="I263" s="148" t="s">
        <v>117</v>
      </c>
      <c r="J263" s="148"/>
      <c r="K263" s="85" t="s">
        <v>119</v>
      </c>
      <c r="L263" s="85" t="s">
        <v>120</v>
      </c>
      <c r="M263" s="35"/>
      <c r="N263" s="35"/>
      <c r="O263" s="35"/>
      <c r="P263" s="35"/>
      <c r="Q263" s="35"/>
      <c r="R263" s="35"/>
      <c r="S263" s="3"/>
      <c r="T263" s="3"/>
      <c r="U263" s="3"/>
      <c r="V263" s="3"/>
      <c r="W263" s="3"/>
    </row>
    <row r="264" spans="1:23" ht="30" x14ac:dyDescent="0.25">
      <c r="A264" s="9"/>
      <c r="B264" s="123" t="s">
        <v>253</v>
      </c>
      <c r="C264" s="115">
        <v>4.5</v>
      </c>
      <c r="D264" s="23"/>
      <c r="E264" s="123" t="s">
        <v>253</v>
      </c>
      <c r="F264" s="91">
        <v>1</v>
      </c>
      <c r="G264" s="92">
        <v>1.5</v>
      </c>
      <c r="H264" s="92">
        <v>2</v>
      </c>
      <c r="I264" s="145" t="s">
        <v>253</v>
      </c>
      <c r="J264" s="146"/>
      <c r="K264" s="107">
        <v>1.5</v>
      </c>
      <c r="L264" s="107">
        <v>0.75</v>
      </c>
      <c r="M264" s="35"/>
      <c r="N264" s="35"/>
      <c r="O264" s="35"/>
      <c r="P264" s="35"/>
      <c r="Q264" s="35"/>
      <c r="R264" s="35"/>
      <c r="S264" s="3"/>
      <c r="T264" s="3"/>
      <c r="U264" s="3"/>
      <c r="V264" s="3"/>
      <c r="W264" s="3"/>
    </row>
    <row r="265" spans="1:23" ht="30" x14ac:dyDescent="0.25">
      <c r="A265" s="9"/>
      <c r="B265" s="107" t="s">
        <v>254</v>
      </c>
      <c r="C265" s="115">
        <v>4.5</v>
      </c>
      <c r="D265" s="23"/>
      <c r="E265" s="107" t="s">
        <v>254</v>
      </c>
      <c r="F265" s="91">
        <v>1</v>
      </c>
      <c r="G265" s="92">
        <v>1.5</v>
      </c>
      <c r="H265" s="92">
        <v>2</v>
      </c>
      <c r="I265" s="145" t="s">
        <v>254</v>
      </c>
      <c r="J265" s="146"/>
      <c r="K265" s="107">
        <v>1.5</v>
      </c>
      <c r="L265" s="107">
        <v>0.75</v>
      </c>
      <c r="M265" s="35"/>
      <c r="N265" s="35"/>
      <c r="O265" s="35"/>
      <c r="P265" s="35"/>
      <c r="Q265" s="35"/>
      <c r="R265" s="35"/>
      <c r="S265" s="3"/>
      <c r="T265" s="3"/>
      <c r="U265" s="3"/>
      <c r="V265" s="3"/>
      <c r="W265" s="3"/>
    </row>
    <row r="266" spans="1:23" x14ac:dyDescent="0.25">
      <c r="A266" s="9"/>
      <c r="B266" s="107">
        <v>0</v>
      </c>
      <c r="C266" s="115">
        <v>0</v>
      </c>
      <c r="D266" s="23"/>
      <c r="E266" s="107">
        <v>0</v>
      </c>
      <c r="F266" s="107">
        <v>0</v>
      </c>
      <c r="G266" s="107">
        <v>0</v>
      </c>
      <c r="H266" s="107">
        <v>0</v>
      </c>
      <c r="I266" s="143">
        <v>0</v>
      </c>
      <c r="J266" s="144"/>
      <c r="K266" s="107">
        <v>0</v>
      </c>
      <c r="L266" s="107">
        <v>0</v>
      </c>
      <c r="M266" s="35"/>
      <c r="N266" s="35"/>
      <c r="O266" s="35"/>
      <c r="P266" s="35"/>
      <c r="Q266" s="35"/>
      <c r="R266" s="35"/>
      <c r="S266" s="3"/>
      <c r="T266" s="3"/>
      <c r="U266" s="3"/>
      <c r="V266" s="3"/>
      <c r="W266" s="3"/>
    </row>
    <row r="267" spans="1:23" x14ac:dyDescent="0.25">
      <c r="A267" s="9"/>
      <c r="B267" s="107">
        <v>0</v>
      </c>
      <c r="C267" s="115">
        <v>0</v>
      </c>
      <c r="D267" s="23"/>
      <c r="E267" s="107">
        <v>0</v>
      </c>
      <c r="F267" s="107">
        <v>0</v>
      </c>
      <c r="G267" s="107">
        <v>0</v>
      </c>
      <c r="H267" s="107">
        <v>0</v>
      </c>
      <c r="I267" s="143">
        <v>0</v>
      </c>
      <c r="J267" s="144"/>
      <c r="K267" s="107">
        <v>0</v>
      </c>
      <c r="L267" s="107">
        <v>0</v>
      </c>
      <c r="M267" s="35"/>
      <c r="N267" s="35"/>
      <c r="O267" s="35"/>
      <c r="P267" s="35"/>
      <c r="Q267" s="35"/>
      <c r="R267" s="35"/>
      <c r="S267" s="3"/>
      <c r="T267" s="3"/>
      <c r="U267" s="3"/>
      <c r="V267" s="3"/>
      <c r="W267" s="3"/>
    </row>
    <row r="268" spans="1:23" x14ac:dyDescent="0.25">
      <c r="A268" s="9"/>
      <c r="B268" s="107">
        <v>0</v>
      </c>
      <c r="C268" s="115">
        <v>0</v>
      </c>
      <c r="D268" s="23"/>
      <c r="E268" s="107">
        <v>0</v>
      </c>
      <c r="F268" s="107">
        <v>0</v>
      </c>
      <c r="G268" s="107">
        <v>0</v>
      </c>
      <c r="H268" s="107">
        <v>0</v>
      </c>
      <c r="I268" s="143">
        <v>0</v>
      </c>
      <c r="J268" s="144"/>
      <c r="K268" s="107">
        <v>0</v>
      </c>
      <c r="L268" s="107">
        <v>0</v>
      </c>
      <c r="M268" s="35"/>
      <c r="N268" s="35"/>
      <c r="O268" s="35"/>
      <c r="P268" s="35"/>
      <c r="Q268" s="35"/>
      <c r="R268" s="35"/>
      <c r="S268" s="3"/>
      <c r="T268" s="3"/>
      <c r="U268" s="3"/>
      <c r="V268" s="3"/>
      <c r="W268" s="3"/>
    </row>
    <row r="269" spans="1:23" x14ac:dyDescent="0.25">
      <c r="A269" s="9"/>
      <c r="B269" s="107">
        <v>0</v>
      </c>
      <c r="C269" s="115">
        <v>0</v>
      </c>
      <c r="D269" s="23"/>
      <c r="E269" s="107">
        <v>0</v>
      </c>
      <c r="F269" s="107">
        <v>0</v>
      </c>
      <c r="G269" s="107">
        <v>0</v>
      </c>
      <c r="H269" s="107">
        <v>0</v>
      </c>
      <c r="I269" s="143">
        <v>0</v>
      </c>
      <c r="J269" s="144"/>
      <c r="K269" s="107">
        <v>0</v>
      </c>
      <c r="L269" s="107">
        <v>0</v>
      </c>
      <c r="M269" s="35"/>
      <c r="N269" s="35"/>
      <c r="O269" s="35"/>
      <c r="P269" s="35"/>
      <c r="Q269" s="35"/>
      <c r="R269" s="35"/>
      <c r="S269" s="3"/>
      <c r="T269" s="3"/>
      <c r="U269" s="3"/>
      <c r="V269" s="3"/>
      <c r="W269" s="3"/>
    </row>
    <row r="270" spans="1:23" x14ac:dyDescent="0.25">
      <c r="A270" s="9"/>
      <c r="B270" s="107">
        <v>0</v>
      </c>
      <c r="C270" s="115">
        <v>0</v>
      </c>
      <c r="D270" s="23"/>
      <c r="E270" s="107">
        <v>0</v>
      </c>
      <c r="F270" s="107">
        <v>0</v>
      </c>
      <c r="G270" s="107">
        <v>0</v>
      </c>
      <c r="H270" s="107">
        <v>0</v>
      </c>
      <c r="I270" s="143">
        <v>0</v>
      </c>
      <c r="J270" s="144"/>
      <c r="K270" s="107">
        <v>0</v>
      </c>
      <c r="L270" s="107">
        <v>0</v>
      </c>
      <c r="M270" s="35"/>
      <c r="N270" s="35"/>
      <c r="O270" s="35"/>
      <c r="P270" s="35"/>
      <c r="Q270" s="35"/>
      <c r="R270" s="35"/>
      <c r="S270" s="3"/>
      <c r="T270" s="3"/>
      <c r="U270" s="3"/>
      <c r="V270" s="3"/>
      <c r="W270" s="3"/>
    </row>
    <row r="271" spans="1:23" x14ac:dyDescent="0.25">
      <c r="A271" s="9"/>
      <c r="B271" s="107">
        <v>0</v>
      </c>
      <c r="C271" s="115">
        <v>0</v>
      </c>
      <c r="D271" s="23"/>
      <c r="E271" s="107">
        <v>0</v>
      </c>
      <c r="F271" s="107">
        <v>0</v>
      </c>
      <c r="G271" s="107">
        <v>0</v>
      </c>
      <c r="H271" s="107">
        <v>0</v>
      </c>
      <c r="I271" s="143">
        <v>0</v>
      </c>
      <c r="J271" s="144"/>
      <c r="K271" s="107">
        <v>0</v>
      </c>
      <c r="L271" s="107">
        <v>0</v>
      </c>
      <c r="M271" s="35"/>
      <c r="N271" s="35"/>
      <c r="O271" s="35"/>
      <c r="P271" s="35"/>
      <c r="Q271" s="35"/>
      <c r="R271" s="35"/>
      <c r="S271" s="3"/>
      <c r="T271" s="3"/>
      <c r="U271" s="3"/>
      <c r="V271" s="3"/>
      <c r="W271" s="3"/>
    </row>
    <row r="272" spans="1:23" x14ac:dyDescent="0.25">
      <c r="A272" s="9"/>
      <c r="B272" s="107">
        <v>0</v>
      </c>
      <c r="C272" s="115">
        <v>0</v>
      </c>
      <c r="D272" s="23"/>
      <c r="E272" s="107">
        <v>0</v>
      </c>
      <c r="F272" s="107">
        <v>0</v>
      </c>
      <c r="G272" s="107">
        <v>0</v>
      </c>
      <c r="H272" s="107">
        <v>0</v>
      </c>
      <c r="I272" s="143">
        <v>0</v>
      </c>
      <c r="J272" s="144"/>
      <c r="K272" s="107">
        <v>0</v>
      </c>
      <c r="L272" s="107">
        <v>0</v>
      </c>
      <c r="M272" s="35"/>
      <c r="N272" s="35"/>
      <c r="O272" s="35"/>
      <c r="P272" s="35"/>
      <c r="Q272" s="35"/>
      <c r="R272" s="35"/>
      <c r="S272" s="3"/>
      <c r="T272" s="3"/>
      <c r="U272" s="3"/>
      <c r="V272" s="3"/>
      <c r="W272" s="3"/>
    </row>
    <row r="273" spans="1:23" x14ac:dyDescent="0.25">
      <c r="A273" s="9"/>
      <c r="B273" s="107">
        <v>0</v>
      </c>
      <c r="C273" s="115">
        <v>0</v>
      </c>
      <c r="D273" s="23"/>
      <c r="E273" s="107">
        <v>0</v>
      </c>
      <c r="F273" s="107">
        <v>0</v>
      </c>
      <c r="G273" s="107">
        <v>0</v>
      </c>
      <c r="H273" s="107">
        <v>0</v>
      </c>
      <c r="I273" s="143">
        <v>0</v>
      </c>
      <c r="J273" s="144"/>
      <c r="K273" s="107">
        <v>0</v>
      </c>
      <c r="L273" s="107">
        <v>0</v>
      </c>
      <c r="M273" s="35"/>
      <c r="N273" s="35"/>
      <c r="O273" s="35"/>
      <c r="P273" s="35"/>
      <c r="Q273" s="35"/>
      <c r="R273" s="35"/>
      <c r="S273" s="3"/>
      <c r="T273" s="3"/>
      <c r="U273" s="3"/>
      <c r="V273" s="3"/>
      <c r="W273" s="3"/>
    </row>
    <row r="274" spans="1:23" x14ac:dyDescent="0.25">
      <c r="A274" s="9"/>
      <c r="B274" s="107">
        <v>0</v>
      </c>
      <c r="C274" s="115">
        <v>0</v>
      </c>
      <c r="D274" s="23"/>
      <c r="E274" s="107">
        <v>0</v>
      </c>
      <c r="F274" s="107">
        <v>0</v>
      </c>
      <c r="G274" s="107">
        <v>0</v>
      </c>
      <c r="H274" s="107">
        <v>0</v>
      </c>
      <c r="I274" s="143">
        <v>0</v>
      </c>
      <c r="J274" s="144"/>
      <c r="K274" s="107">
        <v>0</v>
      </c>
      <c r="L274" s="107">
        <v>0</v>
      </c>
      <c r="M274" s="35"/>
      <c r="N274" s="35"/>
      <c r="O274" s="35"/>
      <c r="P274" s="35"/>
      <c r="Q274" s="35"/>
      <c r="R274" s="35"/>
      <c r="S274" s="3"/>
      <c r="T274" s="3"/>
      <c r="U274" s="3"/>
      <c r="V274" s="3"/>
      <c r="W274" s="3"/>
    </row>
    <row r="275" spans="1:23" x14ac:dyDescent="0.25">
      <c r="A275" s="9"/>
      <c r="B275" s="107">
        <v>0</v>
      </c>
      <c r="C275" s="115">
        <v>0</v>
      </c>
      <c r="D275" s="23"/>
      <c r="E275" s="107">
        <v>0</v>
      </c>
      <c r="F275" s="107">
        <v>0</v>
      </c>
      <c r="G275" s="107">
        <v>0</v>
      </c>
      <c r="H275" s="107">
        <v>0</v>
      </c>
      <c r="I275" s="143">
        <v>0</v>
      </c>
      <c r="J275" s="144"/>
      <c r="K275" s="107">
        <v>0</v>
      </c>
      <c r="L275" s="107">
        <v>0</v>
      </c>
      <c r="M275" s="35"/>
      <c r="N275" s="35"/>
      <c r="O275" s="35"/>
      <c r="P275" s="35"/>
      <c r="Q275" s="35"/>
      <c r="R275" s="35"/>
      <c r="S275" s="3"/>
      <c r="T275" s="3"/>
      <c r="U275" s="3"/>
      <c r="V275" s="3"/>
      <c r="W275" s="3"/>
    </row>
    <row r="276" spans="1:23" x14ac:dyDescent="0.25">
      <c r="A276" s="9"/>
      <c r="B276" s="107">
        <v>0</v>
      </c>
      <c r="C276" s="115">
        <v>0</v>
      </c>
      <c r="D276" s="23"/>
      <c r="E276" s="107">
        <v>0</v>
      </c>
      <c r="F276" s="107">
        <v>0</v>
      </c>
      <c r="G276" s="107">
        <v>0</v>
      </c>
      <c r="H276" s="107">
        <v>0</v>
      </c>
      <c r="I276" s="143">
        <v>0</v>
      </c>
      <c r="J276" s="144"/>
      <c r="K276" s="107">
        <v>0</v>
      </c>
      <c r="L276" s="107">
        <v>0</v>
      </c>
      <c r="M276" s="35"/>
      <c r="N276" s="35"/>
      <c r="O276" s="35"/>
      <c r="P276" s="35"/>
      <c r="Q276" s="35"/>
      <c r="R276" s="35"/>
      <c r="S276" s="3"/>
      <c r="T276" s="3"/>
      <c r="U276" s="3"/>
      <c r="V276" s="3"/>
      <c r="W276" s="3"/>
    </row>
    <row r="277" spans="1:23" x14ac:dyDescent="0.25">
      <c r="A277" s="9"/>
      <c r="B277" s="107">
        <v>0</v>
      </c>
      <c r="C277" s="115">
        <v>0</v>
      </c>
      <c r="D277" s="23"/>
      <c r="E277" s="107">
        <v>0</v>
      </c>
      <c r="F277" s="107">
        <v>0</v>
      </c>
      <c r="G277" s="107">
        <v>0</v>
      </c>
      <c r="H277" s="107">
        <v>0</v>
      </c>
      <c r="I277" s="143">
        <v>0</v>
      </c>
      <c r="J277" s="144"/>
      <c r="K277" s="107">
        <v>0</v>
      </c>
      <c r="L277" s="107">
        <v>0</v>
      </c>
      <c r="M277" s="35"/>
      <c r="N277" s="35"/>
      <c r="O277" s="35"/>
      <c r="P277" s="35"/>
      <c r="Q277" s="35"/>
      <c r="R277" s="35"/>
      <c r="S277" s="3"/>
      <c r="T277" s="3"/>
      <c r="U277" s="3"/>
      <c r="V277" s="3"/>
      <c r="W277" s="3"/>
    </row>
    <row r="278" spans="1:23" x14ac:dyDescent="0.25">
      <c r="A278" s="9"/>
      <c r="B278" s="107">
        <v>0</v>
      </c>
      <c r="C278" s="115">
        <v>0</v>
      </c>
      <c r="D278" s="23"/>
      <c r="E278" s="107">
        <v>0</v>
      </c>
      <c r="F278" s="107">
        <v>0</v>
      </c>
      <c r="G278" s="107">
        <v>0</v>
      </c>
      <c r="H278" s="107">
        <v>0</v>
      </c>
      <c r="I278" s="143">
        <v>0</v>
      </c>
      <c r="J278" s="144"/>
      <c r="K278" s="107">
        <v>0</v>
      </c>
      <c r="L278" s="107">
        <v>0</v>
      </c>
      <c r="M278" s="35"/>
      <c r="N278" s="35"/>
      <c r="O278" s="35"/>
      <c r="P278" s="35"/>
      <c r="Q278" s="35"/>
      <c r="R278" s="35"/>
      <c r="S278" s="3"/>
      <c r="T278" s="3"/>
      <c r="U278" s="3"/>
      <c r="V278" s="3"/>
      <c r="W278" s="3"/>
    </row>
    <row r="279" spans="1:23" x14ac:dyDescent="0.25">
      <c r="A279" s="9"/>
      <c r="B279" s="107">
        <v>0</v>
      </c>
      <c r="C279" s="115">
        <v>0</v>
      </c>
      <c r="D279" s="23"/>
      <c r="E279" s="107">
        <v>0</v>
      </c>
      <c r="F279" s="107">
        <v>0</v>
      </c>
      <c r="G279" s="107">
        <v>0</v>
      </c>
      <c r="H279" s="107">
        <v>0</v>
      </c>
      <c r="I279" s="143">
        <v>0</v>
      </c>
      <c r="J279" s="144"/>
      <c r="K279" s="107">
        <v>0</v>
      </c>
      <c r="L279" s="107">
        <v>0</v>
      </c>
      <c r="M279" s="35"/>
      <c r="N279" s="35"/>
      <c r="O279" s="35"/>
      <c r="P279" s="35"/>
      <c r="Q279" s="35"/>
      <c r="R279" s="35"/>
      <c r="S279" s="3"/>
      <c r="T279" s="3"/>
      <c r="U279" s="3"/>
      <c r="V279" s="3"/>
      <c r="W279" s="3"/>
    </row>
    <row r="280" spans="1:23" x14ac:dyDescent="0.25">
      <c r="A280" s="9"/>
      <c r="B280" s="107">
        <v>0</v>
      </c>
      <c r="C280" s="115">
        <v>0</v>
      </c>
      <c r="D280" s="23"/>
      <c r="E280" s="107">
        <v>0</v>
      </c>
      <c r="F280" s="107">
        <v>0</v>
      </c>
      <c r="G280" s="107">
        <v>0</v>
      </c>
      <c r="H280" s="107">
        <v>0</v>
      </c>
      <c r="I280" s="143">
        <v>0</v>
      </c>
      <c r="J280" s="144"/>
      <c r="K280" s="107">
        <v>0</v>
      </c>
      <c r="L280" s="107">
        <v>0</v>
      </c>
      <c r="M280" s="35"/>
      <c r="N280" s="35"/>
      <c r="O280" s="35"/>
      <c r="P280" s="35"/>
      <c r="Q280" s="35"/>
      <c r="R280" s="35"/>
      <c r="S280" s="3"/>
      <c r="T280" s="3"/>
      <c r="U280" s="3"/>
      <c r="V280" s="3"/>
      <c r="W280" s="3"/>
    </row>
    <row r="281" spans="1:23" x14ac:dyDescent="0.25">
      <c r="A281" s="9"/>
      <c r="B281" s="107">
        <v>0</v>
      </c>
      <c r="C281" s="115">
        <v>0</v>
      </c>
      <c r="D281" s="23"/>
      <c r="E281" s="107">
        <v>0</v>
      </c>
      <c r="F281" s="107">
        <v>0</v>
      </c>
      <c r="G281" s="107">
        <v>0</v>
      </c>
      <c r="H281" s="107">
        <v>0</v>
      </c>
      <c r="I281" s="143">
        <v>0</v>
      </c>
      <c r="J281" s="144"/>
      <c r="K281" s="107">
        <v>0</v>
      </c>
      <c r="L281" s="107">
        <v>0</v>
      </c>
      <c r="M281" s="35"/>
      <c r="N281" s="35"/>
      <c r="O281" s="35"/>
      <c r="P281" s="35"/>
      <c r="Q281" s="35"/>
      <c r="R281" s="35"/>
      <c r="S281" s="3"/>
      <c r="T281" s="3"/>
      <c r="U281" s="3"/>
      <c r="V281" s="3"/>
      <c r="W281" s="3"/>
    </row>
    <row r="282" spans="1:23" x14ac:dyDescent="0.25">
      <c r="A282" s="9"/>
      <c r="B282" s="107">
        <v>0</v>
      </c>
      <c r="C282" s="115">
        <v>0</v>
      </c>
      <c r="D282" s="23"/>
      <c r="E282" s="107">
        <v>0</v>
      </c>
      <c r="F282" s="107">
        <v>0</v>
      </c>
      <c r="G282" s="107">
        <v>0</v>
      </c>
      <c r="H282" s="107">
        <v>0</v>
      </c>
      <c r="I282" s="143">
        <v>0</v>
      </c>
      <c r="J282" s="144"/>
      <c r="K282" s="107">
        <v>0</v>
      </c>
      <c r="L282" s="107">
        <v>0</v>
      </c>
      <c r="M282" s="35"/>
      <c r="N282" s="35"/>
      <c r="O282" s="35"/>
      <c r="P282" s="35"/>
      <c r="Q282" s="35"/>
      <c r="R282" s="35"/>
      <c r="S282" s="3"/>
      <c r="T282" s="3"/>
      <c r="U282" s="3"/>
      <c r="V282" s="3"/>
      <c r="W282" s="3"/>
    </row>
    <row r="283" spans="1:23" x14ac:dyDescent="0.25">
      <c r="A283" s="9"/>
      <c r="B283" s="107">
        <v>0</v>
      </c>
      <c r="C283" s="115">
        <v>0</v>
      </c>
      <c r="D283" s="23"/>
      <c r="E283" s="107">
        <v>0</v>
      </c>
      <c r="F283" s="107">
        <v>0</v>
      </c>
      <c r="G283" s="107">
        <v>0</v>
      </c>
      <c r="H283" s="107">
        <v>0</v>
      </c>
      <c r="I283" s="143">
        <v>0</v>
      </c>
      <c r="J283" s="144"/>
      <c r="K283" s="107">
        <v>0</v>
      </c>
      <c r="L283" s="107">
        <v>0</v>
      </c>
      <c r="M283" s="35"/>
      <c r="N283" s="35"/>
      <c r="O283" s="35"/>
      <c r="P283" s="35"/>
      <c r="Q283" s="35"/>
      <c r="R283" s="35"/>
      <c r="S283" s="3"/>
      <c r="T283" s="3"/>
      <c r="U283" s="3"/>
      <c r="V283" s="3"/>
      <c r="W283" s="3"/>
    </row>
    <row r="284" spans="1:23" x14ac:dyDescent="0.25">
      <c r="A284" s="9"/>
      <c r="B284" s="107">
        <v>0</v>
      </c>
      <c r="C284" s="115">
        <v>0</v>
      </c>
      <c r="D284" s="23"/>
      <c r="E284" s="107">
        <v>0</v>
      </c>
      <c r="F284" s="107">
        <v>0</v>
      </c>
      <c r="G284" s="107">
        <v>0</v>
      </c>
      <c r="H284" s="107">
        <v>0</v>
      </c>
      <c r="I284" s="143">
        <v>0</v>
      </c>
      <c r="J284" s="144"/>
      <c r="K284" s="107">
        <v>0</v>
      </c>
      <c r="L284" s="107">
        <v>0</v>
      </c>
      <c r="M284" s="35"/>
      <c r="N284" s="35"/>
      <c r="O284" s="35"/>
      <c r="P284" s="35"/>
      <c r="Q284" s="35"/>
      <c r="R284" s="35"/>
      <c r="S284" s="3"/>
      <c r="T284" s="3"/>
      <c r="U284" s="3"/>
      <c r="V284" s="3"/>
      <c r="W284" s="3"/>
    </row>
    <row r="285" spans="1:23" x14ac:dyDescent="0.25">
      <c r="A285" s="9"/>
      <c r="B285" s="107">
        <v>0</v>
      </c>
      <c r="C285" s="115">
        <v>0</v>
      </c>
      <c r="D285" s="23"/>
      <c r="E285" s="107">
        <v>0</v>
      </c>
      <c r="F285" s="107">
        <v>0</v>
      </c>
      <c r="G285" s="107">
        <v>0</v>
      </c>
      <c r="H285" s="107">
        <v>0</v>
      </c>
      <c r="I285" s="143">
        <v>0</v>
      </c>
      <c r="J285" s="144"/>
      <c r="K285" s="107">
        <v>0</v>
      </c>
      <c r="L285" s="107">
        <v>0</v>
      </c>
      <c r="M285" s="35"/>
      <c r="N285" s="35"/>
      <c r="O285" s="35"/>
      <c r="P285" s="35"/>
      <c r="Q285" s="35"/>
      <c r="R285" s="35"/>
      <c r="S285" s="3"/>
      <c r="T285" s="3"/>
      <c r="U285" s="3"/>
      <c r="V285" s="3"/>
      <c r="W285" s="3"/>
    </row>
    <row r="286" spans="1:23" x14ac:dyDescent="0.25">
      <c r="A286" s="9"/>
      <c r="B286" s="107">
        <v>0</v>
      </c>
      <c r="C286" s="115">
        <v>0</v>
      </c>
      <c r="D286" s="23"/>
      <c r="E286" s="107">
        <v>0</v>
      </c>
      <c r="F286" s="107">
        <v>0</v>
      </c>
      <c r="G286" s="107">
        <v>0</v>
      </c>
      <c r="H286" s="107">
        <v>0</v>
      </c>
      <c r="I286" s="143">
        <v>0</v>
      </c>
      <c r="J286" s="144"/>
      <c r="K286" s="107">
        <v>0</v>
      </c>
      <c r="L286" s="107">
        <v>0</v>
      </c>
      <c r="M286" s="35"/>
      <c r="N286" s="35"/>
      <c r="O286" s="35"/>
      <c r="P286" s="35"/>
      <c r="Q286" s="35"/>
      <c r="R286" s="35"/>
      <c r="S286" s="3"/>
      <c r="T286" s="3"/>
      <c r="U286" s="3"/>
      <c r="V286" s="3"/>
      <c r="W286" s="3"/>
    </row>
    <row r="287" spans="1:23" x14ac:dyDescent="0.25">
      <c r="A287" s="9"/>
      <c r="B287" s="107">
        <v>0</v>
      </c>
      <c r="C287" s="115">
        <v>0</v>
      </c>
      <c r="D287" s="23"/>
      <c r="E287" s="107">
        <v>0</v>
      </c>
      <c r="F287" s="107">
        <v>0</v>
      </c>
      <c r="G287" s="107">
        <v>0</v>
      </c>
      <c r="H287" s="107">
        <v>0</v>
      </c>
      <c r="I287" s="143">
        <v>0</v>
      </c>
      <c r="J287" s="144"/>
      <c r="K287" s="107">
        <v>0</v>
      </c>
      <c r="L287" s="107">
        <v>0</v>
      </c>
      <c r="M287" s="35"/>
      <c r="N287" s="35"/>
      <c r="O287" s="35"/>
      <c r="P287" s="35"/>
      <c r="Q287" s="35"/>
      <c r="R287" s="35"/>
      <c r="S287" s="3"/>
      <c r="T287" s="3"/>
      <c r="U287" s="3"/>
      <c r="V287" s="3"/>
      <c r="W287" s="3"/>
    </row>
    <row r="288" spans="1:23" x14ac:dyDescent="0.25">
      <c r="A288" s="9"/>
      <c r="B288" s="107">
        <v>0</v>
      </c>
      <c r="C288" s="115">
        <v>0</v>
      </c>
      <c r="D288" s="23"/>
      <c r="E288" s="107">
        <v>0</v>
      </c>
      <c r="F288" s="107">
        <v>0</v>
      </c>
      <c r="G288" s="107">
        <v>0</v>
      </c>
      <c r="H288" s="107">
        <v>0</v>
      </c>
      <c r="I288" s="143">
        <v>0</v>
      </c>
      <c r="J288" s="144"/>
      <c r="K288" s="107">
        <v>0</v>
      </c>
      <c r="L288" s="107">
        <v>0</v>
      </c>
      <c r="M288" s="35"/>
      <c r="N288" s="35"/>
      <c r="O288" s="35"/>
      <c r="P288" s="35"/>
      <c r="Q288" s="35"/>
      <c r="R288" s="35"/>
      <c r="S288" s="3"/>
      <c r="T288" s="3"/>
      <c r="U288" s="3"/>
      <c r="V288" s="3"/>
      <c r="W288" s="3"/>
    </row>
    <row r="289" spans="1:23" x14ac:dyDescent="0.25">
      <c r="A289" s="9"/>
      <c r="B289" s="107">
        <v>0</v>
      </c>
      <c r="C289" s="115">
        <v>0</v>
      </c>
      <c r="D289" s="23"/>
      <c r="E289" s="107">
        <v>0</v>
      </c>
      <c r="F289" s="107">
        <v>0</v>
      </c>
      <c r="G289" s="107">
        <v>0</v>
      </c>
      <c r="H289" s="107">
        <v>0</v>
      </c>
      <c r="I289" s="143">
        <v>0</v>
      </c>
      <c r="J289" s="144"/>
      <c r="K289" s="107">
        <v>0</v>
      </c>
      <c r="L289" s="107">
        <v>0</v>
      </c>
      <c r="M289" s="35"/>
      <c r="N289" s="35"/>
      <c r="O289" s="35"/>
      <c r="P289" s="35"/>
      <c r="Q289" s="35"/>
      <c r="R289" s="35"/>
      <c r="S289" s="3"/>
      <c r="T289" s="3"/>
      <c r="U289" s="3"/>
      <c r="V289" s="3"/>
      <c r="W289" s="3"/>
    </row>
    <row r="290" spans="1:23" x14ac:dyDescent="0.25">
      <c r="A290" s="9"/>
      <c r="B290" s="107">
        <v>0</v>
      </c>
      <c r="C290" s="115">
        <v>0</v>
      </c>
      <c r="D290" s="23"/>
      <c r="E290" s="107">
        <v>0</v>
      </c>
      <c r="F290" s="107">
        <v>0</v>
      </c>
      <c r="G290" s="107">
        <v>0</v>
      </c>
      <c r="H290" s="107">
        <v>0</v>
      </c>
      <c r="I290" s="143">
        <v>0</v>
      </c>
      <c r="J290" s="144"/>
      <c r="K290" s="107">
        <v>0</v>
      </c>
      <c r="L290" s="107">
        <v>0</v>
      </c>
      <c r="M290" s="35"/>
      <c r="N290" s="35"/>
      <c r="O290" s="35"/>
      <c r="P290" s="35"/>
      <c r="Q290" s="35"/>
      <c r="R290" s="35"/>
      <c r="S290" s="3"/>
      <c r="T290" s="3"/>
      <c r="U290" s="3"/>
      <c r="V290" s="3"/>
      <c r="W290" s="3"/>
    </row>
    <row r="291" spans="1:23" x14ac:dyDescent="0.25">
      <c r="A291" s="9"/>
      <c r="B291" s="107">
        <v>0</v>
      </c>
      <c r="C291" s="115">
        <v>0</v>
      </c>
      <c r="D291" s="23"/>
      <c r="E291" s="107">
        <v>0</v>
      </c>
      <c r="F291" s="107">
        <v>0</v>
      </c>
      <c r="G291" s="107">
        <v>0</v>
      </c>
      <c r="H291" s="107">
        <v>0</v>
      </c>
      <c r="I291" s="143">
        <v>0</v>
      </c>
      <c r="J291" s="144"/>
      <c r="K291" s="107">
        <v>0</v>
      </c>
      <c r="L291" s="107">
        <v>0</v>
      </c>
      <c r="M291" s="35"/>
      <c r="N291" s="35"/>
      <c r="O291" s="35"/>
      <c r="P291" s="35"/>
      <c r="Q291" s="35"/>
      <c r="R291" s="35"/>
      <c r="S291" s="3"/>
      <c r="T291" s="3"/>
      <c r="U291" s="3"/>
      <c r="V291" s="3"/>
      <c r="W291" s="3"/>
    </row>
    <row r="292" spans="1:23" x14ac:dyDescent="0.25">
      <c r="A292" s="9"/>
      <c r="B292" s="107">
        <v>0</v>
      </c>
      <c r="C292" s="115">
        <v>0</v>
      </c>
      <c r="D292" s="23"/>
      <c r="E292" s="107">
        <v>0</v>
      </c>
      <c r="F292" s="107">
        <v>0</v>
      </c>
      <c r="G292" s="107">
        <v>0</v>
      </c>
      <c r="H292" s="107">
        <v>0</v>
      </c>
      <c r="I292" s="143">
        <v>0</v>
      </c>
      <c r="J292" s="144"/>
      <c r="K292" s="107">
        <v>0</v>
      </c>
      <c r="L292" s="107">
        <v>0</v>
      </c>
      <c r="M292" s="35"/>
      <c r="N292" s="35"/>
      <c r="O292" s="35"/>
      <c r="P292" s="35"/>
      <c r="Q292" s="35"/>
      <c r="R292" s="35"/>
      <c r="S292" s="3"/>
      <c r="T292" s="3"/>
      <c r="U292" s="3"/>
      <c r="V292" s="3"/>
      <c r="W292" s="3"/>
    </row>
    <row r="293" spans="1:23" x14ac:dyDescent="0.25">
      <c r="A293" s="9"/>
      <c r="B293" s="107">
        <v>0</v>
      </c>
      <c r="C293" s="115">
        <v>0</v>
      </c>
      <c r="D293" s="23"/>
      <c r="E293" s="107">
        <v>0</v>
      </c>
      <c r="F293" s="107">
        <v>0</v>
      </c>
      <c r="G293" s="107">
        <v>0</v>
      </c>
      <c r="H293" s="107">
        <v>0</v>
      </c>
      <c r="I293" s="143">
        <v>0</v>
      </c>
      <c r="J293" s="144"/>
      <c r="K293" s="107">
        <v>0</v>
      </c>
      <c r="L293" s="107">
        <v>0</v>
      </c>
      <c r="M293" s="35"/>
      <c r="N293" s="35"/>
      <c r="O293" s="35"/>
      <c r="P293" s="35"/>
      <c r="Q293" s="35"/>
      <c r="R293" s="35"/>
      <c r="S293" s="3"/>
      <c r="T293" s="3"/>
      <c r="U293" s="3"/>
      <c r="V293" s="3"/>
      <c r="W293" s="3"/>
    </row>
    <row r="294" spans="1:23" x14ac:dyDescent="0.25">
      <c r="A294" s="9"/>
      <c r="B294" s="107">
        <v>0</v>
      </c>
      <c r="C294" s="115">
        <v>0</v>
      </c>
      <c r="D294" s="23"/>
      <c r="E294" s="107">
        <v>0</v>
      </c>
      <c r="F294" s="107">
        <v>0</v>
      </c>
      <c r="G294" s="107">
        <v>0</v>
      </c>
      <c r="H294" s="107">
        <v>0</v>
      </c>
      <c r="I294" s="143">
        <v>0</v>
      </c>
      <c r="J294" s="144"/>
      <c r="K294" s="107">
        <v>0</v>
      </c>
      <c r="L294" s="107">
        <v>0</v>
      </c>
      <c r="M294" s="35"/>
      <c r="N294" s="35"/>
      <c r="O294" s="35"/>
      <c r="P294" s="35"/>
      <c r="Q294" s="35"/>
      <c r="R294" s="35"/>
      <c r="S294" s="3"/>
      <c r="T294" s="3"/>
      <c r="U294" s="3"/>
      <c r="V294" s="3"/>
      <c r="W294" s="3"/>
    </row>
    <row r="295" spans="1:23" x14ac:dyDescent="0.25">
      <c r="A295" s="9"/>
      <c r="B295" s="107">
        <v>0</v>
      </c>
      <c r="C295" s="115">
        <v>0</v>
      </c>
      <c r="D295" s="23"/>
      <c r="E295" s="107">
        <v>0</v>
      </c>
      <c r="F295" s="107">
        <v>0</v>
      </c>
      <c r="G295" s="107">
        <v>0</v>
      </c>
      <c r="H295" s="107">
        <v>0</v>
      </c>
      <c r="I295" s="143">
        <v>0</v>
      </c>
      <c r="J295" s="144"/>
      <c r="K295" s="107">
        <v>0</v>
      </c>
      <c r="L295" s="107">
        <v>0</v>
      </c>
      <c r="M295" s="35"/>
      <c r="N295" s="35"/>
      <c r="O295" s="35"/>
      <c r="P295" s="35"/>
      <c r="Q295" s="35"/>
      <c r="R295" s="35"/>
      <c r="S295" s="3"/>
      <c r="T295" s="3"/>
      <c r="U295" s="3"/>
      <c r="V295" s="3"/>
      <c r="W295" s="3"/>
    </row>
    <row r="296" spans="1:23" x14ac:dyDescent="0.25">
      <c r="B296" s="3"/>
      <c r="C296" s="3"/>
      <c r="D296" s="3"/>
      <c r="E296" s="3"/>
      <c r="F296" s="35"/>
      <c r="G296" s="35"/>
      <c r="H296" s="35"/>
      <c r="I296" s="35"/>
      <c r="J296" s="35"/>
      <c r="K296" s="35"/>
      <c r="L296" s="35"/>
      <c r="M296" s="35"/>
      <c r="N296" s="35"/>
      <c r="O296" s="35"/>
      <c r="P296" s="35"/>
      <c r="Q296" s="35"/>
      <c r="R296" s="35"/>
      <c r="S296" s="3"/>
      <c r="T296" s="3"/>
      <c r="U296" s="3"/>
      <c r="V296" s="3"/>
      <c r="W296" s="3"/>
    </row>
    <row r="297" spans="1:23" x14ac:dyDescent="0.25">
      <c r="B297" s="3"/>
      <c r="C297" s="3"/>
      <c r="D297" s="3"/>
      <c r="E297" s="3"/>
      <c r="F297" s="35"/>
      <c r="G297" s="35"/>
      <c r="H297" s="35"/>
      <c r="I297" s="35"/>
      <c r="J297" s="35"/>
      <c r="K297" s="35"/>
      <c r="L297" s="35"/>
      <c r="M297" s="35"/>
      <c r="N297" s="35"/>
      <c r="O297" s="35"/>
      <c r="P297" s="35"/>
      <c r="Q297" s="35"/>
      <c r="R297" s="35"/>
      <c r="S297" s="3"/>
      <c r="T297" s="3"/>
      <c r="U297" s="3"/>
      <c r="V297" s="3"/>
      <c r="W297" s="3"/>
    </row>
    <row r="298" spans="1:23" x14ac:dyDescent="0.25">
      <c r="B298" s="3"/>
      <c r="C298" s="3"/>
      <c r="D298" s="3"/>
      <c r="E298" s="3"/>
      <c r="F298" s="35"/>
      <c r="G298" s="35"/>
      <c r="H298" s="35"/>
      <c r="I298" s="35"/>
      <c r="J298" s="35"/>
      <c r="K298" s="35"/>
      <c r="L298" s="35"/>
      <c r="M298" s="35"/>
      <c r="N298" s="35"/>
      <c r="O298" s="35"/>
      <c r="P298" s="35"/>
      <c r="Q298" s="35"/>
      <c r="R298" s="35"/>
      <c r="S298" s="3"/>
      <c r="T298" s="3"/>
      <c r="U298" s="3"/>
      <c r="V298" s="3"/>
      <c r="W298" s="3"/>
    </row>
    <row r="299" spans="1:23" x14ac:dyDescent="0.25">
      <c r="B299" s="124" t="s">
        <v>169</v>
      </c>
      <c r="C299" s="3"/>
      <c r="D299" s="3"/>
      <c r="E299" s="3"/>
      <c r="F299" s="35"/>
      <c r="G299" s="35"/>
      <c r="H299" s="35"/>
      <c r="I299" s="35"/>
      <c r="J299" s="35"/>
      <c r="K299" s="35"/>
      <c r="L299" s="35"/>
      <c r="M299" s="35"/>
      <c r="N299" s="35"/>
      <c r="O299" s="35"/>
      <c r="P299" s="35"/>
      <c r="Q299" s="35"/>
      <c r="R299" s="35"/>
      <c r="S299" s="3"/>
      <c r="T299" s="3"/>
      <c r="U299" s="3"/>
      <c r="V299" s="3"/>
      <c r="W299" s="3"/>
    </row>
    <row r="300" spans="1:23" x14ac:dyDescent="0.25">
      <c r="B300" s="36" t="s">
        <v>170</v>
      </c>
      <c r="C300" s="3"/>
      <c r="D300" s="3"/>
      <c r="E300" s="3"/>
      <c r="F300" s="35"/>
      <c r="G300" s="35"/>
      <c r="H300" s="35"/>
      <c r="I300" s="35"/>
      <c r="J300" s="35"/>
      <c r="K300" s="35"/>
      <c r="L300" s="35"/>
      <c r="M300" s="35"/>
      <c r="N300" s="35"/>
      <c r="O300" s="35"/>
      <c r="P300" s="35"/>
      <c r="Q300" s="35"/>
      <c r="R300" s="35"/>
      <c r="S300" s="3"/>
      <c r="T300" s="3"/>
      <c r="U300" s="3"/>
      <c r="V300" s="3"/>
      <c r="W300" s="3"/>
    </row>
    <row r="301" spans="1:23" x14ac:dyDescent="0.25">
      <c r="B301" s="36" t="s">
        <v>171</v>
      </c>
      <c r="C301" s="3"/>
      <c r="D301" s="3"/>
      <c r="E301" s="3"/>
      <c r="F301" s="35"/>
      <c r="G301" s="35"/>
      <c r="H301" s="35"/>
      <c r="I301" s="35"/>
      <c r="J301" s="35"/>
      <c r="K301" s="35"/>
      <c r="L301" s="35"/>
      <c r="M301" s="35"/>
      <c r="N301" s="35"/>
      <c r="O301" s="35"/>
      <c r="P301" s="35"/>
      <c r="Q301" s="35"/>
      <c r="R301" s="35"/>
      <c r="S301" s="3"/>
      <c r="T301" s="3"/>
      <c r="U301" s="3"/>
      <c r="V301" s="3"/>
      <c r="W301" s="3"/>
    </row>
    <row r="302" spans="1:23" x14ac:dyDescent="0.25">
      <c r="B302" s="36" t="s">
        <v>172</v>
      </c>
      <c r="C302" s="3"/>
      <c r="D302" s="3"/>
      <c r="E302" s="3"/>
      <c r="F302" s="35"/>
      <c r="G302" s="35"/>
      <c r="H302" s="35"/>
      <c r="I302" s="35"/>
      <c r="J302" s="35"/>
      <c r="K302" s="35"/>
      <c r="L302" s="35"/>
      <c r="M302" s="35"/>
      <c r="N302" s="35"/>
      <c r="O302" s="35"/>
      <c r="P302" s="35"/>
      <c r="Q302" s="35"/>
      <c r="R302" s="35"/>
      <c r="S302" s="3"/>
      <c r="T302" s="3"/>
      <c r="U302" s="3"/>
      <c r="V302" s="3"/>
      <c r="W302" s="3"/>
    </row>
    <row r="303" spans="1:23" x14ac:dyDescent="0.25">
      <c r="B303" s="36" t="s">
        <v>173</v>
      </c>
      <c r="C303" s="3"/>
      <c r="D303" s="3"/>
      <c r="E303" s="3"/>
      <c r="F303" s="35"/>
      <c r="G303" s="35"/>
      <c r="H303" s="35"/>
      <c r="I303" s="35"/>
      <c r="J303" s="35"/>
      <c r="K303" s="35"/>
      <c r="L303" s="35"/>
      <c r="M303" s="35"/>
      <c r="N303" s="35"/>
      <c r="O303" s="35"/>
      <c r="P303" s="35"/>
      <c r="Q303" s="35"/>
      <c r="R303" s="35"/>
      <c r="S303" s="3"/>
      <c r="T303" s="3"/>
      <c r="U303" s="3"/>
      <c r="V303" s="3"/>
      <c r="W303" s="3"/>
    </row>
    <row r="304" spans="1:23" x14ac:dyDescent="0.25">
      <c r="B304" s="36" t="s">
        <v>174</v>
      </c>
      <c r="C304" s="3"/>
      <c r="D304" s="3"/>
      <c r="E304" s="3"/>
      <c r="F304" s="35"/>
      <c r="G304" s="35"/>
      <c r="H304" s="35"/>
      <c r="I304" s="35"/>
      <c r="J304" s="35"/>
      <c r="K304" s="35"/>
      <c r="L304" s="35"/>
      <c r="M304" s="35"/>
      <c r="N304" s="35"/>
      <c r="O304" s="35"/>
      <c r="P304" s="35"/>
      <c r="Q304" s="35"/>
      <c r="R304" s="35"/>
      <c r="S304" s="3"/>
      <c r="T304" s="3"/>
      <c r="U304" s="3"/>
      <c r="V304" s="3"/>
      <c r="W304" s="3"/>
    </row>
    <row r="305" spans="2:23" x14ac:dyDescent="0.25">
      <c r="B305" s="36" t="s">
        <v>175</v>
      </c>
      <c r="C305" s="3"/>
      <c r="D305" s="3"/>
      <c r="E305" s="3"/>
      <c r="F305" s="35"/>
      <c r="G305" s="35"/>
      <c r="H305" s="35"/>
      <c r="I305" s="35"/>
      <c r="J305" s="35"/>
      <c r="K305" s="35"/>
      <c r="L305" s="35"/>
      <c r="M305" s="35"/>
      <c r="N305" s="35"/>
      <c r="O305" s="35"/>
      <c r="P305" s="35"/>
      <c r="Q305" s="35"/>
      <c r="R305" s="35"/>
      <c r="S305" s="3"/>
      <c r="T305" s="3"/>
      <c r="U305" s="3"/>
      <c r="V305" s="3"/>
      <c r="W305" s="3"/>
    </row>
    <row r="306" spans="2:23" x14ac:dyDescent="0.25">
      <c r="B306" s="36" t="s">
        <v>176</v>
      </c>
      <c r="C306" s="3"/>
      <c r="D306" s="3"/>
      <c r="E306" s="3"/>
      <c r="F306" s="35"/>
      <c r="G306" s="35"/>
      <c r="H306" s="35"/>
      <c r="I306" s="35"/>
      <c r="J306" s="35"/>
      <c r="K306" s="35"/>
      <c r="L306" s="35"/>
      <c r="M306" s="35"/>
      <c r="N306" s="35"/>
      <c r="O306" s="35"/>
      <c r="P306" s="35"/>
      <c r="Q306" s="35"/>
      <c r="R306" s="35"/>
      <c r="S306" s="3"/>
      <c r="T306" s="3"/>
      <c r="U306" s="3"/>
      <c r="V306" s="3"/>
      <c r="W306" s="3"/>
    </row>
    <row r="307" spans="2:23" x14ac:dyDescent="0.25">
      <c r="B307" s="36" t="s">
        <v>177</v>
      </c>
      <c r="C307" s="3"/>
      <c r="D307" s="3"/>
      <c r="E307" s="3"/>
      <c r="F307" s="35"/>
      <c r="G307" s="35"/>
      <c r="H307" s="35"/>
      <c r="I307" s="35"/>
      <c r="J307" s="35"/>
      <c r="K307" s="35"/>
      <c r="L307" s="35"/>
      <c r="M307" s="35"/>
      <c r="N307" s="35"/>
      <c r="O307" s="35"/>
      <c r="P307" s="35"/>
      <c r="Q307" s="35"/>
      <c r="R307" s="35"/>
      <c r="S307" s="3"/>
      <c r="T307" s="3"/>
      <c r="U307" s="3"/>
      <c r="V307" s="3"/>
      <c r="W307" s="3"/>
    </row>
    <row r="308" spans="2:23" x14ac:dyDescent="0.25">
      <c r="B308" s="36" t="s">
        <v>178</v>
      </c>
      <c r="C308" s="3"/>
      <c r="D308" s="3"/>
      <c r="E308" s="3"/>
      <c r="F308" s="35"/>
      <c r="G308" s="35"/>
      <c r="H308" s="35"/>
      <c r="I308" s="35"/>
      <c r="J308" s="35"/>
      <c r="K308" s="35"/>
      <c r="L308" s="35"/>
      <c r="M308" s="35"/>
      <c r="N308" s="35"/>
      <c r="O308" s="35"/>
      <c r="P308" s="35"/>
      <c r="Q308" s="35"/>
      <c r="R308" s="35"/>
      <c r="S308" s="3"/>
      <c r="T308" s="3"/>
      <c r="U308" s="3"/>
      <c r="V308" s="3"/>
      <c r="W308" s="3"/>
    </row>
    <row r="309" spans="2:23" x14ac:dyDescent="0.25">
      <c r="B309" s="36" t="s">
        <v>179</v>
      </c>
      <c r="C309" s="3"/>
      <c r="D309" s="3"/>
      <c r="E309" s="3"/>
      <c r="F309" s="35"/>
      <c r="G309" s="35"/>
      <c r="H309" s="35"/>
      <c r="I309" s="35"/>
      <c r="J309" s="35"/>
      <c r="K309" s="35"/>
      <c r="L309" s="35"/>
      <c r="M309" s="35"/>
      <c r="N309" s="35"/>
      <c r="O309" s="35"/>
      <c r="P309" s="35"/>
      <c r="Q309" s="35"/>
      <c r="R309" s="35"/>
      <c r="S309" s="3"/>
      <c r="T309" s="3"/>
      <c r="U309" s="3"/>
      <c r="V309" s="3"/>
      <c r="W309" s="3"/>
    </row>
    <row r="310" spans="2:23" x14ac:dyDescent="0.25">
      <c r="B310" s="36" t="s">
        <v>180</v>
      </c>
      <c r="C310" s="3"/>
      <c r="D310" s="3"/>
      <c r="E310" s="3"/>
      <c r="F310" s="35"/>
      <c r="G310" s="35"/>
      <c r="H310" s="35"/>
      <c r="I310" s="35"/>
      <c r="J310" s="35"/>
      <c r="K310" s="35"/>
      <c r="L310" s="35"/>
      <c r="M310" s="35"/>
      <c r="N310" s="35"/>
      <c r="O310" s="35"/>
      <c r="P310" s="35"/>
      <c r="Q310" s="35"/>
      <c r="R310" s="35"/>
      <c r="S310" s="3"/>
      <c r="T310" s="3"/>
      <c r="U310" s="3"/>
      <c r="V310" s="3"/>
      <c r="W310" s="3"/>
    </row>
    <row r="311" spans="2:23" x14ac:dyDescent="0.25">
      <c r="B311" s="36" t="s">
        <v>181</v>
      </c>
      <c r="C311" s="3"/>
      <c r="D311" s="3"/>
      <c r="E311" s="3"/>
      <c r="F311" s="35"/>
      <c r="G311" s="35"/>
      <c r="H311" s="35"/>
      <c r="I311" s="35"/>
      <c r="J311" s="35"/>
      <c r="K311" s="35"/>
      <c r="L311" s="35"/>
      <c r="M311" s="35"/>
      <c r="N311" s="35"/>
      <c r="O311" s="35"/>
      <c r="P311" s="35"/>
      <c r="Q311" s="35"/>
      <c r="R311" s="35"/>
      <c r="S311" s="3"/>
      <c r="T311" s="3"/>
      <c r="U311" s="3"/>
      <c r="V311" s="3"/>
      <c r="W311" s="3"/>
    </row>
    <row r="312" spans="2:23" x14ac:dyDescent="0.25">
      <c r="B312" s="36" t="s">
        <v>182</v>
      </c>
      <c r="C312" s="3"/>
      <c r="D312" s="3"/>
      <c r="E312" s="3"/>
      <c r="F312" s="35"/>
      <c r="G312" s="35"/>
      <c r="H312" s="35"/>
      <c r="I312" s="35"/>
      <c r="J312" s="35"/>
      <c r="K312" s="35"/>
      <c r="L312" s="35"/>
      <c r="M312" s="35"/>
      <c r="N312" s="35"/>
      <c r="O312" s="35"/>
      <c r="P312" s="35"/>
      <c r="Q312" s="35"/>
      <c r="R312" s="35"/>
      <c r="S312" s="3"/>
      <c r="T312" s="3"/>
      <c r="U312" s="3"/>
      <c r="V312" s="3"/>
      <c r="W312" s="3"/>
    </row>
    <row r="313" spans="2:23" x14ac:dyDescent="0.25">
      <c r="B313" s="36" t="s">
        <v>183</v>
      </c>
      <c r="C313" s="3"/>
      <c r="D313" s="3"/>
      <c r="E313" s="3"/>
      <c r="F313" s="35"/>
      <c r="G313" s="35"/>
      <c r="H313" s="35"/>
      <c r="I313" s="35"/>
      <c r="J313" s="35"/>
      <c r="K313" s="35"/>
      <c r="L313" s="35"/>
      <c r="M313" s="35"/>
      <c r="N313" s="35"/>
      <c r="O313" s="35"/>
      <c r="P313" s="35"/>
      <c r="Q313" s="35"/>
      <c r="R313" s="35"/>
      <c r="S313" s="3"/>
      <c r="T313" s="3"/>
      <c r="U313" s="3"/>
      <c r="V313" s="3"/>
      <c r="W313" s="3"/>
    </row>
    <row r="314" spans="2:23" x14ac:dyDescent="0.25">
      <c r="B314" s="36" t="s">
        <v>184</v>
      </c>
      <c r="C314" s="3"/>
      <c r="D314" s="3"/>
      <c r="E314" s="3"/>
      <c r="F314" s="35"/>
      <c r="G314" s="35"/>
      <c r="H314" s="35"/>
      <c r="I314" s="35"/>
      <c r="J314" s="35"/>
      <c r="K314" s="35"/>
      <c r="L314" s="35"/>
      <c r="M314" s="35"/>
      <c r="N314" s="35"/>
      <c r="O314" s="35"/>
      <c r="P314" s="35"/>
      <c r="Q314" s="35"/>
      <c r="R314" s="35"/>
      <c r="S314" s="3"/>
      <c r="T314" s="3"/>
      <c r="U314" s="3"/>
      <c r="V314" s="3"/>
      <c r="W314" s="3"/>
    </row>
    <row r="315" spans="2:23" x14ac:dyDescent="0.25">
      <c r="B315" s="36" t="s">
        <v>185</v>
      </c>
      <c r="C315" s="3"/>
      <c r="D315" s="3"/>
      <c r="E315" s="3"/>
      <c r="F315" s="35"/>
      <c r="G315" s="35"/>
      <c r="H315" s="35"/>
      <c r="I315" s="35"/>
      <c r="J315" s="35"/>
      <c r="K315" s="35"/>
      <c r="L315" s="35"/>
      <c r="M315" s="35"/>
      <c r="N315" s="35"/>
      <c r="O315" s="35"/>
      <c r="P315" s="35"/>
      <c r="Q315" s="35"/>
      <c r="R315" s="35"/>
      <c r="S315" s="3"/>
      <c r="T315" s="3"/>
      <c r="U315" s="3"/>
      <c r="V315" s="3"/>
      <c r="W315" s="3"/>
    </row>
    <row r="316" spans="2:23" x14ac:dyDescent="0.25">
      <c r="B316" s="36" t="s">
        <v>186</v>
      </c>
      <c r="C316" s="3"/>
      <c r="D316" s="3"/>
      <c r="E316" s="3"/>
      <c r="F316" s="35"/>
      <c r="G316" s="35"/>
      <c r="H316" s="35"/>
      <c r="I316" s="35"/>
      <c r="J316" s="35"/>
      <c r="K316" s="35"/>
      <c r="L316" s="35"/>
      <c r="M316" s="35"/>
      <c r="N316" s="35"/>
      <c r="O316" s="35"/>
      <c r="P316" s="35"/>
      <c r="Q316" s="35"/>
      <c r="R316" s="35"/>
      <c r="S316" s="3"/>
      <c r="T316" s="3"/>
      <c r="U316" s="3"/>
      <c r="V316" s="3"/>
      <c r="W316" s="3"/>
    </row>
    <row r="317" spans="2:23" x14ac:dyDescent="0.25">
      <c r="B317" s="36" t="s">
        <v>187</v>
      </c>
      <c r="C317" s="3"/>
      <c r="D317" s="3"/>
      <c r="E317" s="3"/>
      <c r="F317" s="35"/>
      <c r="G317" s="35"/>
      <c r="H317" s="35"/>
      <c r="I317" s="35"/>
      <c r="J317" s="35"/>
      <c r="K317" s="35"/>
      <c r="L317" s="35"/>
      <c r="M317" s="35"/>
      <c r="N317" s="35"/>
      <c r="O317" s="35"/>
      <c r="P317" s="35"/>
      <c r="Q317" s="35"/>
      <c r="R317" s="35"/>
      <c r="S317" s="3"/>
      <c r="T317" s="3"/>
      <c r="U317" s="3"/>
      <c r="V317" s="3"/>
      <c r="W317" s="3"/>
    </row>
    <row r="318" spans="2:23" x14ac:dyDescent="0.25">
      <c r="B318" s="36" t="s">
        <v>188</v>
      </c>
      <c r="C318" s="3"/>
      <c r="D318" s="3"/>
      <c r="E318" s="3"/>
      <c r="F318" s="35"/>
      <c r="G318" s="35"/>
      <c r="H318" s="35"/>
      <c r="I318" s="35"/>
      <c r="J318" s="35"/>
      <c r="K318" s="35"/>
      <c r="L318" s="35"/>
      <c r="M318" s="35"/>
      <c r="N318" s="35"/>
      <c r="O318" s="35"/>
      <c r="P318" s="35"/>
      <c r="Q318" s="35"/>
      <c r="R318" s="35"/>
      <c r="S318" s="3"/>
      <c r="T318" s="3"/>
      <c r="U318" s="3"/>
      <c r="V318" s="3"/>
      <c r="W318" s="3"/>
    </row>
    <row r="319" spans="2:23" x14ac:dyDescent="0.25">
      <c r="B319" s="36" t="s">
        <v>189</v>
      </c>
      <c r="C319" s="3"/>
      <c r="D319" s="3"/>
      <c r="E319" s="3"/>
      <c r="F319" s="35"/>
      <c r="G319" s="35"/>
      <c r="H319" s="35"/>
      <c r="I319" s="35"/>
      <c r="J319" s="35"/>
      <c r="K319" s="35"/>
      <c r="L319" s="35"/>
      <c r="M319" s="35"/>
      <c r="N319" s="35"/>
      <c r="O319" s="35"/>
      <c r="P319" s="35"/>
      <c r="Q319" s="35"/>
      <c r="R319" s="35"/>
      <c r="S319" s="3"/>
      <c r="T319" s="3"/>
      <c r="U319" s="3"/>
      <c r="V319" s="3"/>
      <c r="W319" s="3"/>
    </row>
    <row r="320" spans="2:23" x14ac:dyDescent="0.25">
      <c r="B320" s="36" t="s">
        <v>190</v>
      </c>
      <c r="C320" s="3"/>
      <c r="D320" s="3"/>
      <c r="E320" s="3"/>
      <c r="F320" s="35"/>
      <c r="G320" s="35"/>
      <c r="H320" s="35"/>
      <c r="I320" s="35"/>
      <c r="J320" s="35"/>
      <c r="K320" s="35"/>
      <c r="L320" s="35"/>
      <c r="M320" s="35"/>
      <c r="N320" s="35"/>
      <c r="O320" s="35"/>
      <c r="P320" s="35"/>
      <c r="Q320" s="35"/>
      <c r="R320" s="35"/>
      <c r="S320" s="3"/>
      <c r="T320" s="3"/>
      <c r="U320" s="3"/>
      <c r="V320" s="3"/>
      <c r="W320" s="3"/>
    </row>
    <row r="321" spans="2:23" x14ac:dyDescent="0.25">
      <c r="B321" s="36" t="s">
        <v>191</v>
      </c>
      <c r="C321" s="3"/>
      <c r="D321" s="3"/>
      <c r="E321" s="3"/>
      <c r="F321" s="35"/>
      <c r="G321" s="35"/>
      <c r="H321" s="35"/>
      <c r="I321" s="35"/>
      <c r="J321" s="35"/>
      <c r="K321" s="35"/>
      <c r="L321" s="35"/>
      <c r="M321" s="35"/>
      <c r="N321" s="35"/>
      <c r="O321" s="35"/>
      <c r="P321" s="35"/>
      <c r="Q321" s="35"/>
      <c r="R321" s="35"/>
      <c r="S321" s="3"/>
      <c r="T321" s="3"/>
      <c r="U321" s="3"/>
      <c r="V321" s="3"/>
      <c r="W321" s="3"/>
    </row>
    <row r="322" spans="2:23" x14ac:dyDescent="0.25">
      <c r="B322" s="36" t="s">
        <v>192</v>
      </c>
      <c r="C322" s="3"/>
      <c r="D322" s="3"/>
      <c r="E322" s="3"/>
      <c r="F322" s="35"/>
      <c r="G322" s="35"/>
      <c r="H322" s="35"/>
      <c r="I322" s="35"/>
      <c r="J322" s="35"/>
      <c r="K322" s="35"/>
      <c r="L322" s="35"/>
      <c r="M322" s="35"/>
      <c r="N322" s="35"/>
      <c r="O322" s="35"/>
      <c r="P322" s="35"/>
      <c r="Q322" s="35"/>
      <c r="R322" s="35"/>
      <c r="S322" s="3"/>
      <c r="T322" s="3"/>
      <c r="U322" s="3"/>
      <c r="V322" s="3"/>
      <c r="W322" s="3"/>
    </row>
    <row r="323" spans="2:23" x14ac:dyDescent="0.25">
      <c r="B323" s="36" t="s">
        <v>193</v>
      </c>
      <c r="C323" s="3"/>
      <c r="D323" s="3"/>
      <c r="E323" s="3"/>
      <c r="F323" s="35"/>
      <c r="G323" s="35"/>
      <c r="H323" s="35"/>
      <c r="I323" s="35"/>
      <c r="J323" s="35"/>
      <c r="K323" s="35"/>
      <c r="L323" s="35"/>
      <c r="M323" s="35"/>
      <c r="N323" s="35"/>
      <c r="O323" s="35"/>
      <c r="P323" s="35"/>
      <c r="Q323" s="35"/>
      <c r="R323" s="35"/>
      <c r="S323" s="3"/>
      <c r="T323" s="3"/>
      <c r="U323" s="3"/>
      <c r="V323" s="3"/>
      <c r="W323" s="3"/>
    </row>
    <row r="324" spans="2:23" x14ac:dyDescent="0.25">
      <c r="B324" s="36" t="s">
        <v>194</v>
      </c>
      <c r="C324" s="3"/>
      <c r="D324" s="3"/>
      <c r="E324" s="3"/>
      <c r="F324" s="35"/>
      <c r="G324" s="35"/>
      <c r="H324" s="35"/>
      <c r="I324" s="35"/>
      <c r="J324" s="35"/>
      <c r="K324" s="35"/>
      <c r="L324" s="35"/>
      <c r="M324" s="35"/>
      <c r="N324" s="35"/>
      <c r="O324" s="35"/>
      <c r="P324" s="35"/>
      <c r="Q324" s="35"/>
      <c r="R324" s="35"/>
      <c r="S324" s="3"/>
      <c r="T324" s="3"/>
      <c r="U324" s="3"/>
      <c r="V324" s="3"/>
      <c r="W324" s="3"/>
    </row>
    <row r="325" spans="2:23" x14ac:dyDescent="0.25">
      <c r="B325" s="36" t="s">
        <v>195</v>
      </c>
      <c r="C325" s="3"/>
      <c r="D325" s="3"/>
      <c r="E325" s="3"/>
      <c r="F325" s="35"/>
      <c r="G325" s="35"/>
      <c r="H325" s="35"/>
      <c r="I325" s="35"/>
      <c r="J325" s="35"/>
      <c r="K325" s="35"/>
      <c r="L325" s="35"/>
      <c r="M325" s="35"/>
      <c r="N325" s="35"/>
      <c r="O325" s="35"/>
      <c r="P325" s="35"/>
      <c r="Q325" s="35"/>
      <c r="R325" s="35"/>
      <c r="S325" s="3"/>
      <c r="T325" s="3"/>
      <c r="U325" s="3"/>
      <c r="V325" s="3"/>
      <c r="W325" s="3"/>
    </row>
    <row r="326" spans="2:23" x14ac:dyDescent="0.25">
      <c r="B326" s="36" t="s">
        <v>196</v>
      </c>
      <c r="C326" s="3"/>
      <c r="D326" s="3"/>
      <c r="E326" s="3"/>
      <c r="F326" s="35"/>
      <c r="G326" s="35"/>
      <c r="H326" s="35"/>
      <c r="I326" s="35"/>
      <c r="J326" s="35"/>
      <c r="K326" s="35"/>
      <c r="L326" s="35"/>
      <c r="M326" s="35"/>
      <c r="N326" s="35"/>
      <c r="O326" s="35"/>
      <c r="P326" s="35"/>
      <c r="Q326" s="35"/>
      <c r="R326" s="35"/>
      <c r="S326" s="3"/>
      <c r="T326" s="3"/>
      <c r="U326" s="3"/>
      <c r="V326" s="3"/>
      <c r="W326" s="3"/>
    </row>
    <row r="327" spans="2:23" x14ac:dyDescent="0.25">
      <c r="B327" s="36" t="s">
        <v>197</v>
      </c>
      <c r="C327" s="3"/>
      <c r="D327" s="3"/>
      <c r="E327" s="3"/>
      <c r="F327" s="35"/>
      <c r="G327" s="35"/>
      <c r="H327" s="35"/>
      <c r="I327" s="35"/>
      <c r="J327" s="35"/>
      <c r="K327" s="35"/>
      <c r="L327" s="35"/>
      <c r="M327" s="35"/>
      <c r="N327" s="35"/>
      <c r="O327" s="35"/>
      <c r="P327" s="35"/>
      <c r="Q327" s="35"/>
      <c r="R327" s="35"/>
      <c r="S327" s="3"/>
      <c r="T327" s="3"/>
      <c r="U327" s="3"/>
      <c r="V327" s="3"/>
      <c r="W327" s="3"/>
    </row>
    <row r="328" spans="2:23" x14ac:dyDescent="0.25">
      <c r="B328" s="36" t="s">
        <v>198</v>
      </c>
      <c r="C328" s="3"/>
      <c r="D328" s="3"/>
      <c r="E328" s="3"/>
      <c r="F328" s="35"/>
      <c r="G328" s="35"/>
      <c r="H328" s="35"/>
      <c r="I328" s="35"/>
      <c r="J328" s="35"/>
      <c r="K328" s="35"/>
      <c r="L328" s="35"/>
      <c r="M328" s="35"/>
      <c r="N328" s="35"/>
      <c r="O328" s="35"/>
      <c r="P328" s="35"/>
      <c r="Q328" s="35"/>
      <c r="R328" s="35"/>
      <c r="S328" s="3"/>
      <c r="T328" s="3"/>
      <c r="U328" s="3"/>
      <c r="V328" s="3"/>
      <c r="W328" s="3"/>
    </row>
    <row r="329" spans="2:23" x14ac:dyDescent="0.25">
      <c r="B329" s="36" t="s">
        <v>199</v>
      </c>
      <c r="C329" s="3"/>
      <c r="D329" s="3"/>
      <c r="E329" s="3"/>
      <c r="F329" s="35"/>
      <c r="G329" s="35"/>
      <c r="H329" s="35"/>
      <c r="I329" s="35"/>
      <c r="J329" s="35"/>
      <c r="K329" s="35"/>
      <c r="L329" s="35"/>
      <c r="M329" s="35"/>
      <c r="N329" s="35"/>
      <c r="O329" s="35"/>
      <c r="P329" s="35"/>
      <c r="Q329" s="35"/>
      <c r="R329" s="35"/>
      <c r="S329" s="3"/>
      <c r="T329" s="3"/>
      <c r="U329" s="3"/>
      <c r="V329" s="3"/>
      <c r="W329" s="3"/>
    </row>
    <row r="330" spans="2:23" x14ac:dyDescent="0.25">
      <c r="B330" s="36" t="s">
        <v>200</v>
      </c>
      <c r="C330" s="3"/>
      <c r="D330" s="3"/>
      <c r="E330" s="3"/>
      <c r="F330" s="35"/>
      <c r="G330" s="35"/>
      <c r="H330" s="35"/>
      <c r="I330" s="35"/>
      <c r="J330" s="35"/>
      <c r="K330" s="35"/>
      <c r="L330" s="35"/>
      <c r="M330" s="35"/>
      <c r="N330" s="35"/>
      <c r="O330" s="35"/>
      <c r="P330" s="35"/>
      <c r="Q330" s="35"/>
      <c r="R330" s="35"/>
      <c r="S330" s="3"/>
      <c r="T330" s="3"/>
      <c r="U330" s="3"/>
      <c r="V330" s="3"/>
      <c r="W330" s="3"/>
    </row>
    <row r="331" spans="2:23" x14ac:dyDescent="0.25">
      <c r="B331" s="36" t="s">
        <v>201</v>
      </c>
      <c r="C331" s="3"/>
      <c r="D331" s="3"/>
      <c r="E331" s="3"/>
      <c r="F331" s="35"/>
      <c r="G331" s="35"/>
      <c r="H331" s="35"/>
      <c r="I331" s="35"/>
      <c r="J331" s="35"/>
      <c r="K331" s="35"/>
      <c r="L331" s="35"/>
      <c r="M331" s="35"/>
      <c r="N331" s="35"/>
      <c r="O331" s="35"/>
      <c r="P331" s="35"/>
      <c r="Q331" s="35"/>
      <c r="R331" s="35"/>
      <c r="S331" s="3"/>
      <c r="T331" s="3"/>
      <c r="U331" s="3"/>
      <c r="V331" s="3"/>
      <c r="W331" s="3"/>
    </row>
    <row r="332" spans="2:23" x14ac:dyDescent="0.25">
      <c r="B332" s="36" t="s">
        <v>202</v>
      </c>
      <c r="C332" s="3"/>
      <c r="D332" s="3"/>
      <c r="E332" s="3"/>
      <c r="F332" s="35"/>
      <c r="G332" s="35"/>
      <c r="H332" s="35"/>
      <c r="I332" s="35"/>
      <c r="J332" s="35"/>
      <c r="K332" s="35"/>
      <c r="L332" s="35"/>
      <c r="M332" s="35"/>
      <c r="N332" s="35"/>
      <c r="O332" s="35"/>
      <c r="P332" s="35"/>
      <c r="Q332" s="35"/>
      <c r="R332" s="35"/>
      <c r="S332" s="3"/>
      <c r="T332" s="3"/>
      <c r="U332" s="3"/>
      <c r="V332" s="3"/>
      <c r="W332" s="3"/>
    </row>
    <row r="333" spans="2:23" x14ac:dyDescent="0.25">
      <c r="B333" s="36" t="s">
        <v>203</v>
      </c>
      <c r="C333" s="3"/>
      <c r="D333" s="3"/>
      <c r="E333" s="3"/>
      <c r="F333" s="35"/>
      <c r="G333" s="35"/>
      <c r="H333" s="35"/>
      <c r="I333" s="35"/>
      <c r="J333" s="35"/>
      <c r="K333" s="35"/>
      <c r="L333" s="35"/>
      <c r="M333" s="35"/>
      <c r="N333" s="35"/>
      <c r="O333" s="35"/>
      <c r="P333" s="35"/>
      <c r="Q333" s="35"/>
      <c r="R333" s="35"/>
      <c r="S333" s="3"/>
      <c r="T333" s="3"/>
      <c r="U333" s="3"/>
      <c r="V333" s="3"/>
      <c r="W333" s="3"/>
    </row>
    <row r="334" spans="2:23" x14ac:dyDescent="0.25">
      <c r="B334" s="36" t="s">
        <v>204</v>
      </c>
      <c r="C334" s="3"/>
      <c r="D334" s="3"/>
      <c r="E334" s="3"/>
      <c r="F334" s="35"/>
      <c r="G334" s="35"/>
      <c r="H334" s="35"/>
      <c r="I334" s="35"/>
      <c r="J334" s="35"/>
      <c r="K334" s="35"/>
      <c r="L334" s="35"/>
      <c r="M334" s="35"/>
      <c r="N334" s="35"/>
      <c r="O334" s="35"/>
      <c r="P334" s="35"/>
      <c r="Q334" s="35"/>
      <c r="R334" s="35"/>
      <c r="S334" s="3"/>
      <c r="T334" s="3"/>
      <c r="U334" s="3"/>
      <c r="V334" s="3"/>
      <c r="W334" s="3"/>
    </row>
    <row r="335" spans="2:23" x14ac:dyDescent="0.25">
      <c r="B335" s="36" t="s">
        <v>205</v>
      </c>
      <c r="C335" s="3"/>
      <c r="D335" s="3"/>
      <c r="E335" s="3"/>
      <c r="F335" s="35"/>
      <c r="G335" s="35"/>
      <c r="H335" s="35"/>
      <c r="I335" s="35"/>
      <c r="J335" s="35"/>
      <c r="K335" s="35"/>
      <c r="L335" s="35"/>
      <c r="M335" s="35"/>
      <c r="N335" s="35"/>
      <c r="O335" s="35"/>
      <c r="P335" s="35"/>
      <c r="Q335" s="35"/>
      <c r="R335" s="35"/>
      <c r="S335" s="3"/>
      <c r="T335" s="3"/>
      <c r="U335" s="3"/>
      <c r="V335" s="3"/>
      <c r="W335" s="3"/>
    </row>
    <row r="336" spans="2:23" x14ac:dyDescent="0.25">
      <c r="B336" s="36" t="s">
        <v>206</v>
      </c>
      <c r="C336" s="3"/>
      <c r="D336" s="3"/>
      <c r="E336" s="3"/>
      <c r="F336" s="35"/>
      <c r="G336" s="35"/>
      <c r="H336" s="35"/>
      <c r="I336" s="35"/>
      <c r="J336" s="35"/>
      <c r="K336" s="35"/>
      <c r="L336" s="35"/>
      <c r="M336" s="35"/>
      <c r="N336" s="35"/>
      <c r="O336" s="35"/>
      <c r="P336" s="35"/>
      <c r="Q336" s="35"/>
      <c r="R336" s="35"/>
      <c r="S336" s="3"/>
      <c r="T336" s="3"/>
      <c r="U336" s="3"/>
      <c r="V336" s="3"/>
      <c r="W336" s="3"/>
    </row>
    <row r="337" spans="2:23" x14ac:dyDescent="0.25">
      <c r="B337" s="36" t="s">
        <v>207</v>
      </c>
      <c r="C337" s="3"/>
      <c r="D337" s="3"/>
      <c r="E337" s="3"/>
      <c r="F337" s="35"/>
      <c r="G337" s="35"/>
      <c r="H337" s="35"/>
      <c r="I337" s="35"/>
      <c r="J337" s="35"/>
      <c r="K337" s="35"/>
      <c r="L337" s="35"/>
      <c r="M337" s="35"/>
      <c r="N337" s="35"/>
      <c r="O337" s="35"/>
      <c r="P337" s="35"/>
      <c r="Q337" s="35"/>
      <c r="R337" s="35"/>
      <c r="S337" s="3"/>
      <c r="T337" s="3"/>
      <c r="U337" s="3"/>
      <c r="V337" s="3"/>
      <c r="W337" s="3"/>
    </row>
    <row r="338" spans="2:23" x14ac:dyDescent="0.25">
      <c r="B338" s="36" t="s">
        <v>208</v>
      </c>
      <c r="C338" s="3"/>
      <c r="D338" s="3"/>
      <c r="E338" s="3"/>
      <c r="F338" s="35"/>
      <c r="G338" s="35"/>
      <c r="H338" s="35"/>
      <c r="I338" s="35"/>
      <c r="J338" s="35"/>
      <c r="K338" s="35"/>
      <c r="L338" s="35"/>
      <c r="M338" s="35"/>
      <c r="N338" s="35"/>
      <c r="O338" s="35"/>
      <c r="P338" s="35"/>
      <c r="Q338" s="35"/>
      <c r="R338" s="35"/>
      <c r="S338" s="3"/>
      <c r="T338" s="3"/>
      <c r="U338" s="3"/>
      <c r="V338" s="3"/>
      <c r="W338" s="3"/>
    </row>
    <row r="339" spans="2:23" x14ac:dyDescent="0.25">
      <c r="B339" s="36" t="s">
        <v>209</v>
      </c>
      <c r="C339" s="3"/>
      <c r="D339" s="3"/>
      <c r="E339" s="3"/>
      <c r="F339" s="35"/>
      <c r="G339" s="35"/>
      <c r="H339" s="35"/>
      <c r="I339" s="35"/>
      <c r="J339" s="35"/>
      <c r="K339" s="35"/>
      <c r="L339" s="35"/>
      <c r="M339" s="35"/>
      <c r="N339" s="35"/>
      <c r="O339" s="35"/>
      <c r="P339" s="35"/>
      <c r="Q339" s="35"/>
      <c r="R339" s="35"/>
      <c r="S339" s="3"/>
      <c r="T339" s="3"/>
      <c r="U339" s="3"/>
      <c r="V339" s="3"/>
      <c r="W339" s="3"/>
    </row>
    <row r="340" spans="2:23" x14ac:dyDescent="0.25">
      <c r="B340" s="36" t="s">
        <v>210</v>
      </c>
      <c r="C340" s="3"/>
      <c r="D340" s="3"/>
      <c r="E340" s="3"/>
      <c r="F340" s="35"/>
      <c r="G340" s="35"/>
      <c r="H340" s="35"/>
      <c r="I340" s="35"/>
      <c r="J340" s="35"/>
      <c r="K340" s="35"/>
      <c r="L340" s="35"/>
      <c r="M340" s="35"/>
      <c r="N340" s="35"/>
      <c r="O340" s="35"/>
      <c r="P340" s="35"/>
      <c r="Q340" s="35"/>
      <c r="R340" s="35"/>
      <c r="S340" s="3"/>
      <c r="T340" s="3"/>
      <c r="U340" s="3"/>
      <c r="V340" s="3"/>
      <c r="W340" s="3"/>
    </row>
    <row r="341" spans="2:23" x14ac:dyDescent="0.25">
      <c r="B341" s="36" t="s">
        <v>211</v>
      </c>
      <c r="C341" s="3"/>
      <c r="D341" s="3"/>
      <c r="E341" s="3"/>
      <c r="F341" s="35"/>
      <c r="G341" s="35"/>
      <c r="H341" s="35"/>
      <c r="I341" s="35"/>
      <c r="J341" s="35"/>
      <c r="K341" s="35"/>
      <c r="L341" s="35"/>
      <c r="M341" s="35"/>
      <c r="N341" s="35"/>
      <c r="O341" s="35"/>
      <c r="P341" s="35"/>
      <c r="Q341" s="35"/>
      <c r="R341" s="35"/>
      <c r="S341" s="3"/>
      <c r="T341" s="3"/>
      <c r="U341" s="3"/>
      <c r="V341" s="3"/>
      <c r="W341" s="3"/>
    </row>
    <row r="342" spans="2:23" x14ac:dyDescent="0.25">
      <c r="B342" s="36" t="s">
        <v>212</v>
      </c>
      <c r="C342" s="3"/>
      <c r="D342" s="3"/>
      <c r="E342" s="3"/>
      <c r="F342" s="35"/>
      <c r="G342" s="35"/>
      <c r="H342" s="35"/>
      <c r="I342" s="35"/>
      <c r="J342" s="35"/>
      <c r="K342" s="35"/>
      <c r="L342" s="35"/>
      <c r="M342" s="35"/>
      <c r="N342" s="35"/>
      <c r="O342" s="35"/>
      <c r="P342" s="35"/>
      <c r="Q342" s="35"/>
      <c r="R342" s="35"/>
      <c r="S342" s="3"/>
      <c r="T342" s="3"/>
      <c r="U342" s="3"/>
      <c r="V342" s="3"/>
      <c r="W342" s="3"/>
    </row>
    <row r="343" spans="2:23" x14ac:dyDescent="0.25">
      <c r="B343" s="36" t="s">
        <v>213</v>
      </c>
      <c r="C343" s="3"/>
      <c r="D343" s="3"/>
      <c r="E343" s="3"/>
      <c r="F343" s="35"/>
      <c r="G343" s="35"/>
      <c r="H343" s="35"/>
      <c r="I343" s="35"/>
      <c r="J343" s="35"/>
      <c r="K343" s="35"/>
      <c r="L343" s="35"/>
      <c r="M343" s="35"/>
      <c r="N343" s="35"/>
      <c r="O343" s="35"/>
      <c r="P343" s="35"/>
      <c r="Q343" s="35"/>
      <c r="R343" s="35"/>
      <c r="S343" s="3"/>
      <c r="T343" s="3"/>
      <c r="U343" s="3"/>
      <c r="V343" s="3"/>
      <c r="W343" s="3"/>
    </row>
    <row r="344" spans="2:23" x14ac:dyDescent="0.25">
      <c r="B344" s="36" t="s">
        <v>214</v>
      </c>
      <c r="C344" s="3"/>
      <c r="D344" s="3"/>
      <c r="E344" s="3"/>
      <c r="F344" s="35"/>
      <c r="G344" s="35"/>
      <c r="H344" s="35"/>
      <c r="I344" s="35"/>
      <c r="J344" s="35"/>
      <c r="K344" s="35"/>
      <c r="L344" s="35"/>
      <c r="M344" s="35"/>
      <c r="N344" s="35"/>
      <c r="O344" s="35"/>
      <c r="P344" s="35"/>
      <c r="Q344" s="35"/>
      <c r="R344" s="35"/>
      <c r="S344" s="3"/>
      <c r="T344" s="3"/>
      <c r="U344" s="3"/>
      <c r="V344" s="3"/>
      <c r="W344" s="3"/>
    </row>
    <row r="345" spans="2:23" x14ac:dyDescent="0.25">
      <c r="B345" s="36" t="s">
        <v>215</v>
      </c>
      <c r="C345" s="3"/>
      <c r="D345" s="3"/>
      <c r="E345" s="3"/>
      <c r="F345" s="35"/>
      <c r="G345" s="35"/>
      <c r="H345" s="35"/>
      <c r="I345" s="35"/>
      <c r="J345" s="35"/>
      <c r="K345" s="35"/>
      <c r="L345" s="35"/>
      <c r="M345" s="35"/>
      <c r="N345" s="35"/>
      <c r="O345" s="35"/>
      <c r="P345" s="35"/>
      <c r="Q345" s="35"/>
      <c r="R345" s="35"/>
      <c r="S345" s="3"/>
      <c r="T345" s="3"/>
      <c r="U345" s="3"/>
      <c r="V345" s="3"/>
      <c r="W345" s="3"/>
    </row>
    <row r="346" spans="2:23" ht="15.75" customHeight="1" x14ac:dyDescent="0.25">
      <c r="B346" s="36" t="s">
        <v>216</v>
      </c>
      <c r="C346" s="3"/>
      <c r="D346" s="3"/>
      <c r="E346" s="3"/>
      <c r="F346" s="35"/>
      <c r="G346" s="35"/>
      <c r="H346" s="35"/>
      <c r="I346" s="35"/>
      <c r="J346" s="35"/>
      <c r="K346" s="35"/>
      <c r="L346" s="35"/>
      <c r="M346" s="35"/>
      <c r="N346" s="35"/>
      <c r="O346" s="35"/>
      <c r="P346" s="35"/>
      <c r="Q346" s="35"/>
      <c r="R346" s="35"/>
      <c r="S346" s="3"/>
      <c r="T346" s="3"/>
      <c r="U346" s="3"/>
      <c r="V346" s="3"/>
      <c r="W346" s="3"/>
    </row>
    <row r="347" spans="2:23" ht="15.75" customHeight="1" x14ac:dyDescent="0.25">
      <c r="B347" s="27" t="s">
        <v>217</v>
      </c>
    </row>
    <row r="348" spans="2:23" ht="15.75" customHeight="1" x14ac:dyDescent="0.25">
      <c r="B348" s="27" t="s">
        <v>218</v>
      </c>
    </row>
    <row r="349" spans="2:23" ht="15.75" customHeight="1" x14ac:dyDescent="0.25">
      <c r="B349" s="27" t="s">
        <v>219</v>
      </c>
    </row>
    <row r="350" spans="2:23" ht="15.75" customHeight="1" x14ac:dyDescent="0.25">
      <c r="B350" s="27" t="s">
        <v>220</v>
      </c>
    </row>
  </sheetData>
  <sheetProtection selectLockedCells="1"/>
  <mergeCells count="254">
    <mergeCell ref="I146:J146"/>
    <mergeCell ref="I147:J147"/>
    <mergeCell ref="I148:J148"/>
    <mergeCell ref="I149:J149"/>
    <mergeCell ref="I150:J150"/>
    <mergeCell ref="I133:J133"/>
    <mergeCell ref="I126:J126"/>
    <mergeCell ref="I127:J127"/>
    <mergeCell ref="I128:J128"/>
    <mergeCell ref="I129:J129"/>
    <mergeCell ref="I130:J130"/>
    <mergeCell ref="I131:J131"/>
    <mergeCell ref="I144:J144"/>
    <mergeCell ref="I145:J145"/>
    <mergeCell ref="I135:J135"/>
    <mergeCell ref="I136:J136"/>
    <mergeCell ref="I137:J137"/>
    <mergeCell ref="I138:J138"/>
    <mergeCell ref="I139:J139"/>
    <mergeCell ref="I140:J140"/>
    <mergeCell ref="I141:J141"/>
    <mergeCell ref="I142:J142"/>
    <mergeCell ref="I143:J143"/>
    <mergeCell ref="I132:J132"/>
    <mergeCell ref="I114:J114"/>
    <mergeCell ref="I115:J115"/>
    <mergeCell ref="I122:J122"/>
    <mergeCell ref="I123:J123"/>
    <mergeCell ref="I124:J124"/>
    <mergeCell ref="I125:J125"/>
    <mergeCell ref="I117:J117"/>
    <mergeCell ref="I118:J118"/>
    <mergeCell ref="I119:J119"/>
    <mergeCell ref="I120:J120"/>
    <mergeCell ref="I121:J121"/>
    <mergeCell ref="I116:J116"/>
    <mergeCell ref="I37:J37"/>
    <mergeCell ref="I28:J28"/>
    <mergeCell ref="I32:J32"/>
    <mergeCell ref="I33:J33"/>
    <mergeCell ref="I34:J34"/>
    <mergeCell ref="I35:J35"/>
    <mergeCell ref="I36:J36"/>
    <mergeCell ref="I49:J49"/>
    <mergeCell ref="I38:J38"/>
    <mergeCell ref="I39:J39"/>
    <mergeCell ref="I40:J40"/>
    <mergeCell ref="I41:J41"/>
    <mergeCell ref="I42:J42"/>
    <mergeCell ref="I43:J43"/>
    <mergeCell ref="I44:J44"/>
    <mergeCell ref="I45:J45"/>
    <mergeCell ref="I46:J46"/>
    <mergeCell ref="I47:J47"/>
    <mergeCell ref="I48:J48"/>
    <mergeCell ref="I68:J68"/>
    <mergeCell ref="I69:J69"/>
    <mergeCell ref="I61:J61"/>
    <mergeCell ref="I50:J50"/>
    <mergeCell ref="I51:J51"/>
    <mergeCell ref="I52:J52"/>
    <mergeCell ref="I53:J53"/>
    <mergeCell ref="I54:J54"/>
    <mergeCell ref="I55:J55"/>
    <mergeCell ref="I56:J56"/>
    <mergeCell ref="I57:J57"/>
    <mergeCell ref="I58:J58"/>
    <mergeCell ref="I59:J59"/>
    <mergeCell ref="I60:J60"/>
    <mergeCell ref="I62:J62"/>
    <mergeCell ref="I63:J63"/>
    <mergeCell ref="I64:J64"/>
    <mergeCell ref="I65:J65"/>
    <mergeCell ref="I66:J66"/>
    <mergeCell ref="I70:J70"/>
    <mergeCell ref="I71:J71"/>
    <mergeCell ref="I72:J72"/>
    <mergeCell ref="I82:J82"/>
    <mergeCell ref="I83:J83"/>
    <mergeCell ref="I78:J78"/>
    <mergeCell ref="I79:J79"/>
    <mergeCell ref="I80:J80"/>
    <mergeCell ref="I81:J81"/>
    <mergeCell ref="I73:J73"/>
    <mergeCell ref="I74:J74"/>
    <mergeCell ref="I75:J75"/>
    <mergeCell ref="I76:J76"/>
    <mergeCell ref="I77:J77"/>
    <mergeCell ref="I84:J84"/>
    <mergeCell ref="I85:J85"/>
    <mergeCell ref="I98:J98"/>
    <mergeCell ref="I99:J99"/>
    <mergeCell ref="I100:J100"/>
    <mergeCell ref="I101:J101"/>
    <mergeCell ref="I102:J102"/>
    <mergeCell ref="I103:J103"/>
    <mergeCell ref="I104:J104"/>
    <mergeCell ref="I86:J86"/>
    <mergeCell ref="I87:J87"/>
    <mergeCell ref="I88:J88"/>
    <mergeCell ref="I89:J89"/>
    <mergeCell ref="I90:J90"/>
    <mergeCell ref="I91:J91"/>
    <mergeCell ref="I92:J92"/>
    <mergeCell ref="I93:J93"/>
    <mergeCell ref="I94:J94"/>
    <mergeCell ref="I95:J95"/>
    <mergeCell ref="I96:J96"/>
    <mergeCell ref="I97:J97"/>
    <mergeCell ref="I105:J105"/>
    <mergeCell ref="I111:J111"/>
    <mergeCell ref="I112:J112"/>
    <mergeCell ref="I113:J113"/>
    <mergeCell ref="I106:J106"/>
    <mergeCell ref="I107:J107"/>
    <mergeCell ref="I108:J108"/>
    <mergeCell ref="I109:J109"/>
    <mergeCell ref="I110:J110"/>
    <mergeCell ref="I153:J153"/>
    <mergeCell ref="I154:J154"/>
    <mergeCell ref="I155:J155"/>
    <mergeCell ref="I156:J156"/>
    <mergeCell ref="I157:J157"/>
    <mergeCell ref="I158:J158"/>
    <mergeCell ref="I159:J159"/>
    <mergeCell ref="I160:J160"/>
    <mergeCell ref="I161:J161"/>
    <mergeCell ref="I162:J162"/>
    <mergeCell ref="I163:J163"/>
    <mergeCell ref="I164:J164"/>
    <mergeCell ref="I165:J165"/>
    <mergeCell ref="I166:J166"/>
    <mergeCell ref="I167:J167"/>
    <mergeCell ref="I168:J168"/>
    <mergeCell ref="I169:J169"/>
    <mergeCell ref="I170:J170"/>
    <mergeCell ref="I171:J171"/>
    <mergeCell ref="I172:J172"/>
    <mergeCell ref="I173:J173"/>
    <mergeCell ref="I174:J174"/>
    <mergeCell ref="I175:J175"/>
    <mergeCell ref="I176:J176"/>
    <mergeCell ref="I177:J177"/>
    <mergeCell ref="I178:J178"/>
    <mergeCell ref="I179:J179"/>
    <mergeCell ref="I180:J180"/>
    <mergeCell ref="I181:J181"/>
    <mergeCell ref="I182:J182"/>
    <mergeCell ref="I183:J183"/>
    <mergeCell ref="I184:J184"/>
    <mergeCell ref="I185:J185"/>
    <mergeCell ref="I186:J186"/>
    <mergeCell ref="I190:J190"/>
    <mergeCell ref="I191:J191"/>
    <mergeCell ref="I192:J192"/>
    <mergeCell ref="I193:J193"/>
    <mergeCell ref="I194:J194"/>
    <mergeCell ref="I195:J195"/>
    <mergeCell ref="I196:J196"/>
    <mergeCell ref="I197:J197"/>
    <mergeCell ref="I198:J198"/>
    <mergeCell ref="I199:J199"/>
    <mergeCell ref="I200:J200"/>
    <mergeCell ref="I201:J201"/>
    <mergeCell ref="I202:J202"/>
    <mergeCell ref="I203:J203"/>
    <mergeCell ref="I204:J204"/>
    <mergeCell ref="I205:J205"/>
    <mergeCell ref="I206:J206"/>
    <mergeCell ref="I207:J207"/>
    <mergeCell ref="I208:J208"/>
    <mergeCell ref="I209:J209"/>
    <mergeCell ref="I210:J210"/>
    <mergeCell ref="I211:J211"/>
    <mergeCell ref="I212:J212"/>
    <mergeCell ref="I213:J213"/>
    <mergeCell ref="I214:J214"/>
    <mergeCell ref="I215:J215"/>
    <mergeCell ref="I216:J216"/>
    <mergeCell ref="I217:J217"/>
    <mergeCell ref="I218:J218"/>
    <mergeCell ref="I219:J219"/>
    <mergeCell ref="I220:J220"/>
    <mergeCell ref="I221:J221"/>
    <mergeCell ref="I222:J222"/>
    <mergeCell ref="I223:J223"/>
    <mergeCell ref="I226:J226"/>
    <mergeCell ref="I227:J227"/>
    <mergeCell ref="I228:J228"/>
    <mergeCell ref="I229:J229"/>
    <mergeCell ref="I230:J230"/>
    <mergeCell ref="I231:J231"/>
    <mergeCell ref="I232:J232"/>
    <mergeCell ref="I233:J233"/>
    <mergeCell ref="I234:J234"/>
    <mergeCell ref="I235:J235"/>
    <mergeCell ref="I236:J236"/>
    <mergeCell ref="I237:J237"/>
    <mergeCell ref="I238:J238"/>
    <mergeCell ref="I239:J239"/>
    <mergeCell ref="I240:J240"/>
    <mergeCell ref="I241:J241"/>
    <mergeCell ref="I242:J242"/>
    <mergeCell ref="I243:J243"/>
    <mergeCell ref="I244:J244"/>
    <mergeCell ref="I245:J245"/>
    <mergeCell ref="I246:J246"/>
    <mergeCell ref="I247:J247"/>
    <mergeCell ref="I262:J262"/>
    <mergeCell ref="I263:J263"/>
    <mergeCell ref="I257:J257"/>
    <mergeCell ref="I258:J258"/>
    <mergeCell ref="I259:J259"/>
    <mergeCell ref="I248:J248"/>
    <mergeCell ref="I249:J249"/>
    <mergeCell ref="I250:J250"/>
    <mergeCell ref="I251:J251"/>
    <mergeCell ref="I252:J252"/>
    <mergeCell ref="I253:J253"/>
    <mergeCell ref="I254:J254"/>
    <mergeCell ref="I255:J255"/>
    <mergeCell ref="I256:J256"/>
    <mergeCell ref="I264:J264"/>
    <mergeCell ref="I265:J265"/>
    <mergeCell ref="I266:J266"/>
    <mergeCell ref="I267:J267"/>
    <mergeCell ref="I268:J268"/>
    <mergeCell ref="I269:J269"/>
    <mergeCell ref="I270:J270"/>
    <mergeCell ref="I271:J271"/>
    <mergeCell ref="I272:J272"/>
    <mergeCell ref="I291:J291"/>
    <mergeCell ref="I292:J292"/>
    <mergeCell ref="I293:J293"/>
    <mergeCell ref="I294:J294"/>
    <mergeCell ref="I295:J295"/>
    <mergeCell ref="I282:J282"/>
    <mergeCell ref="I283:J283"/>
    <mergeCell ref="I284:J284"/>
    <mergeCell ref="I285:J285"/>
    <mergeCell ref="I286:J286"/>
    <mergeCell ref="I287:J287"/>
    <mergeCell ref="I288:J288"/>
    <mergeCell ref="I289:J289"/>
    <mergeCell ref="I290:J290"/>
    <mergeCell ref="I273:J273"/>
    <mergeCell ref="I274:J274"/>
    <mergeCell ref="I275:J275"/>
    <mergeCell ref="I276:J276"/>
    <mergeCell ref="I277:J277"/>
    <mergeCell ref="I278:J278"/>
    <mergeCell ref="I279:J279"/>
    <mergeCell ref="I280:J280"/>
    <mergeCell ref="I281:J281"/>
  </mergeCells>
  <phoneticPr fontId="23" type="noConversion"/>
  <dataValidations count="1">
    <dataValidation type="list" allowBlank="1" showInputMessage="1" showErrorMessage="1" sqref="Z2" xr:uid="{00000000-0002-0000-0300-000000000000}">
      <formula1>"-10,-5,0,5,10"</formula1>
    </dataValidation>
  </dataValidations>
  <pageMargins left="0.7" right="0.7" top="0.75" bottom="0.75" header="0.3" footer="0.3"/>
  <pageSetup paperSize="9" orientation="portrait" horizontalDpi="4294967295" verticalDpi="4294967295" r:id="rId1"/>
  <ignoredErrors>
    <ignoredError sqref="B22" twoDigitTextYea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Hesaplama</vt:lpstr>
      <vt:lpstr>Sheet1</vt:lpstr>
      <vt:lpstr>Uygulama Esasları</vt:lpstr>
      <vt:lpstr>Tablolar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MEVLÜT SÖYLEMEZ</cp:lastModifiedBy>
  <dcterms:created xsi:type="dcterms:W3CDTF">2020-10-30T14:11:09Z</dcterms:created>
  <dcterms:modified xsi:type="dcterms:W3CDTF">2026-07-01T13:09:09Z</dcterms:modified>
</cp:coreProperties>
</file>